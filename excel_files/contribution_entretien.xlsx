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burgat\kDrive2\03_Etude\"/>
    </mc:Choice>
  </mc:AlternateContent>
  <xr:revisionPtr revIDLastSave="0" documentId="13_ncr:1_{7150A426-56AB-4B87-AC7F-2860961E5511}" xr6:coauthVersionLast="47" xr6:coauthVersionMax="47" xr10:uidLastSave="{00000000-0000-0000-0000-000000000000}"/>
  <bookViews>
    <workbookView xWindow="-110" yWindow="-110" windowWidth="19420" windowHeight="11500" xr2:uid="{00000000-000D-0000-FFFF-FFFF00000000}"/>
  </bookViews>
  <sheets>
    <sheet name="Contribution d'entretien" sheetId="1" r:id="rId1"/>
    <sheet name="Récapitulatif" sheetId="3" r:id="rId2"/>
    <sheet name="Paramètres" sheetId="2" r:id="rId3"/>
  </sheets>
  <definedNames>
    <definedName name="CC_1">'Contribution d''entretien'!$C$46</definedName>
    <definedName name="CC_2">'Contribution d''entretien'!$D$46</definedName>
    <definedName name="man">'Contribution d''entretien'!$F$45</definedName>
    <definedName name="nb_enfants">'Contribution d''entretien'!$G$52</definedName>
    <definedName name="P_1">'Contribution d''entretien'!$C$39</definedName>
    <definedName name="P_2">'Contribution d''entretien'!$D$39</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9" i="1" l="1"/>
  <c r="G52" i="1"/>
  <c r="D16" i="1" s="1"/>
  <c r="C10" i="1"/>
  <c r="B5" i="3" s="1"/>
  <c r="C16" i="1" l="1"/>
  <c r="C25" i="1" s="1"/>
  <c r="C34" i="1" s="1"/>
  <c r="C79" i="1"/>
  <c r="F55" i="1"/>
  <c r="E57" i="1"/>
  <c r="D57" i="1"/>
  <c r="C57" i="1"/>
  <c r="F57" i="1"/>
  <c r="C55" i="1"/>
  <c r="D55" i="1"/>
  <c r="E55" i="1"/>
  <c r="C56" i="1"/>
  <c r="D56" i="1"/>
  <c r="F56" i="1"/>
  <c r="E56" i="1"/>
  <c r="D10" i="1"/>
  <c r="C5" i="3" s="1"/>
  <c r="C65" i="1" l="1"/>
  <c r="C72" i="1" s="1"/>
  <c r="C75" i="1" s="1"/>
  <c r="E65" i="1"/>
  <c r="E72" i="1" s="1"/>
  <c r="E75" i="1" s="1"/>
  <c r="D65" i="1"/>
  <c r="D72" i="1" s="1"/>
  <c r="D75" i="1" s="1"/>
  <c r="F65" i="1"/>
  <c r="D25" i="1"/>
  <c r="D34" i="1" s="1"/>
  <c r="C6" i="3" s="1"/>
  <c r="F72" i="1" l="1"/>
  <c r="F75" i="1" s="1"/>
  <c r="D43" i="1"/>
  <c r="D44" i="1"/>
  <c r="C43" i="1"/>
  <c r="C44" i="1" l="1"/>
  <c r="B6" i="3"/>
  <c r="D45" i="1" l="1"/>
  <c r="C45" i="1"/>
  <c r="D77" i="1" l="1"/>
  <c r="E77" i="1"/>
  <c r="F77" i="1"/>
  <c r="C77" i="1"/>
  <c r="D76" i="1"/>
  <c r="C76" i="1"/>
  <c r="F76" i="1"/>
  <c r="E76" i="1"/>
  <c r="F84" i="1"/>
  <c r="C84" i="1" l="1"/>
  <c r="D46" i="1"/>
  <c r="C46" i="1"/>
  <c r="F82" i="1" l="1"/>
  <c r="F87" i="1" s="1"/>
  <c r="E82" i="1"/>
  <c r="D82" i="1"/>
  <c r="C82" i="1"/>
  <c r="C81" i="1"/>
  <c r="F81" i="1"/>
  <c r="E81" i="1"/>
  <c r="D81" i="1"/>
  <c r="C47" i="1" l="1"/>
  <c r="C48" i="1" s="1"/>
  <c r="D47" i="1"/>
  <c r="C7" i="3" s="1"/>
  <c r="D48" i="1" l="1"/>
  <c r="C78" i="1" s="1"/>
  <c r="B7" i="3"/>
  <c r="D84" i="1"/>
  <c r="D87" i="1" s="1"/>
  <c r="E84" i="1"/>
  <c r="E87" i="1" s="1"/>
  <c r="C83" i="1" l="1"/>
  <c r="C86" i="1" s="1"/>
  <c r="F83" i="1"/>
  <c r="F86" i="1" s="1"/>
  <c r="E83" i="1"/>
  <c r="E86" i="1" s="1"/>
  <c r="D83" i="1"/>
  <c r="D86" i="1" s="1"/>
  <c r="C8" i="3"/>
  <c r="C11" i="3" s="1"/>
  <c r="C87" i="1"/>
  <c r="B8" i="3" l="1"/>
  <c r="B1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tc={BBB35C24-A2FF-41F0-9926-82C465447A43}</author>
    <author>tc={24641891-6990-40FC-BBA5-4AE68C9CF87A}</author>
    <author>tc={F99220DF-2C4F-4317-A8D8-21CE14F18F83}</author>
    <author>tc={2033703C-72D0-4C77-BDDD-8916342159F7}</author>
    <author>tc={FBEB7955-E6B7-48EF-BA7A-84DE644AC11C}</author>
    <author>tc={16E7B540-C300-4577-AAC9-7BA2EEF185E7}</author>
    <author>tc={396CFA8B-8741-4DAD-85F8-69375DB592A2}</author>
    <author>tc={D1F9757C-2F69-4751-B7FE-B7209BA8E02B}</author>
    <author>CC</author>
    <author>tc={C23A1F62-8F3A-4044-AB32-42D41A2B7AE3}</author>
  </authors>
  <commentList>
    <comment ref="B14" authorId="0" shapeId="0" xr:uid="{BBB35C24-A2FF-41F0-9926-82C465447A4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 montant de base comprend: les frais pour l’alimentation, les vêtements et le linge y compris leur entretien, les soins corporels et de santé, l’entretien du logement, les assurances privées, les frais culturels ainsi que les dépenses pour l’éclairage, le courant électrique ou le gaz pour la cuisine</t>
      </text>
    </comment>
    <comment ref="B15" authorId="1" shapeId="0" xr:uid="{24641891-6990-40FC-BBA5-4AE68C9CF87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Déduire la part des enfants</t>
      </text>
    </comment>
    <comment ref="B16" authorId="2" shapeId="0" xr:uid="{F99220DF-2C4F-4317-A8D8-21CE14F18F8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Déduire la part des enfants</t>
      </text>
    </comment>
    <comment ref="B21" authorId="3" shapeId="0" xr:uid="{2033703C-72D0-4C77-BDDD-8916342159F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nécessité d’une voiture est reconnue si son utilisation permet une économie de temps de deux heures par jour. 
Selon directives LP
Scooter:CHF 30 pour l'usure/carburant
Moto: CHF 55 pour l'usure/carburant
Véhicule automobile: Sans amortissement</t>
      </text>
    </comment>
    <comment ref="C21" authorId="4" shapeId="0" xr:uid="{FBEB7955-E6B7-48EF-BA7A-84DE644AC11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J'ai repris les frais professionnels forfaitaires selon DI (pas sûre que cela passe sous la nouvelle jurisprudence)</t>
      </text>
    </comment>
    <comment ref="B22" authorId="5" shapeId="0" xr:uid="{16E7B540-C300-4577-AAC9-7BA2EEF185E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Selon Directives LP : 
De CHF 9 à CHF 11 
Besoins alimentaires accrus pour travaux physiques en équipe ou de nuit</t>
      </text>
    </comment>
    <comment ref="C22" authorId="6" shapeId="0" xr:uid="{396CFA8B-8741-4DAD-85F8-69375DB592A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Selon DI 2019</t>
      </text>
    </comment>
    <comment ref="B23" authorId="7" shapeId="0" xr:uid="{D1F9757C-2F69-4751-B7FE-B7209BA8E02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nécessité d’une voiture est reconnue si son utilisation permet une économie de temps de deux heures par jour</t>
      </text>
    </comment>
    <comment ref="B46" authorId="8" shapeId="0" xr:uid="{2EFD31BF-23BE-44AD-B6F1-CC21F1535D77}">
      <text>
        <r>
          <rPr>
            <b/>
            <sz val="9"/>
            <color indexed="81"/>
            <rFont val="Tahoma"/>
            <family val="2"/>
          </rPr>
          <t>CC:</t>
        </r>
        <r>
          <rPr>
            <sz val="9"/>
            <color indexed="81"/>
            <rFont val="Tahoma"/>
            <family val="2"/>
          </rPr>
          <t xml:space="preserve">
Uniquement s'il n'y a pas de manco!
</t>
        </r>
      </text>
    </comment>
    <comment ref="B53" authorId="9" shapeId="0" xr:uid="{C23A1F62-8F3A-4044-AB32-42D41A2B7AE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Insérer la date de naissance pour chaque personne; l'âge sera calculé automatiquement</t>
      </text>
    </comment>
  </commentList>
</comments>
</file>

<file path=xl/sharedStrings.xml><?xml version="1.0" encoding="utf-8"?>
<sst xmlns="http://schemas.openxmlformats.org/spreadsheetml/2006/main" count="90" uniqueCount="83">
  <si>
    <t>Frais de repas</t>
  </si>
  <si>
    <t>Frais de déplacement</t>
  </si>
  <si>
    <t>Bonus annuel</t>
  </si>
  <si>
    <t>Treizième salaire</t>
  </si>
  <si>
    <t>Allocation(s) complémentaire(s)</t>
  </si>
  <si>
    <t>LCA</t>
  </si>
  <si>
    <t xml:space="preserve">TOTAL </t>
  </si>
  <si>
    <t>Montant de base</t>
  </si>
  <si>
    <t>Frais de chauffage</t>
  </si>
  <si>
    <t xml:space="preserve">Frais accessoires </t>
  </si>
  <si>
    <t>Prime LaMal/autres assurances obligatoires</t>
  </si>
  <si>
    <t xml:space="preserve">Impôts </t>
  </si>
  <si>
    <t>Après déduction des charges I</t>
  </si>
  <si>
    <t>Leasing voiture si nécessaire</t>
  </si>
  <si>
    <t xml:space="preserve">TOTAL charges  I </t>
  </si>
  <si>
    <t>Forfaits télécommunication</t>
  </si>
  <si>
    <t>Pourcentage du disponible de la famille</t>
  </si>
  <si>
    <t>Revenus complémentaires</t>
  </si>
  <si>
    <t>Part au loyer  / intérêts hypothécaires</t>
  </si>
  <si>
    <t>Autres assurances</t>
  </si>
  <si>
    <t>3ème pilier</t>
  </si>
  <si>
    <t>Après déduction des charges  I + II</t>
  </si>
  <si>
    <t>Disponible après paiement des frais des enfants</t>
  </si>
  <si>
    <t>Loisirs</t>
  </si>
  <si>
    <t>Revenus</t>
  </si>
  <si>
    <t>Charges</t>
  </si>
  <si>
    <t xml:space="preserve">Disponible </t>
  </si>
  <si>
    <t>Frais des enfants</t>
  </si>
  <si>
    <t>NOM</t>
  </si>
  <si>
    <t>Allocations</t>
  </si>
  <si>
    <t>Autres revenus</t>
  </si>
  <si>
    <t>Assurance maladie</t>
  </si>
  <si>
    <t>Assurance complémentaire</t>
  </si>
  <si>
    <t>Frais de formation</t>
  </si>
  <si>
    <t>Frais de transports</t>
  </si>
  <si>
    <t>Impôts</t>
  </si>
  <si>
    <t>Assurance vie</t>
  </si>
  <si>
    <t>Epargne</t>
  </si>
  <si>
    <t>TOTAL charges I + II</t>
  </si>
  <si>
    <t>%</t>
  </si>
  <si>
    <t>Disponible retenu</t>
  </si>
  <si>
    <t>Age enfants</t>
  </si>
  <si>
    <t>Charges I</t>
  </si>
  <si>
    <t>Coûts effectifs logement</t>
  </si>
  <si>
    <t>Part au loyer parent 1</t>
  </si>
  <si>
    <t>Part au loyer parent 2</t>
  </si>
  <si>
    <t>Nombre enfants</t>
  </si>
  <si>
    <t>Autres frais</t>
  </si>
  <si>
    <t>Charges I+II</t>
  </si>
  <si>
    <t xml:space="preserve">Autres </t>
  </si>
  <si>
    <t>TOTAL Coûts directs</t>
  </si>
  <si>
    <t>Participation coûts directs enfants</t>
  </si>
  <si>
    <t>Participation parent 2</t>
  </si>
  <si>
    <t>Participation parent 1</t>
  </si>
  <si>
    <t>Parent 1</t>
  </si>
  <si>
    <t>Parent 2</t>
  </si>
  <si>
    <t>Participation dispo parent 1</t>
  </si>
  <si>
    <t>Participation dispo parent 2</t>
  </si>
  <si>
    <t>Frais médicaux</t>
  </si>
  <si>
    <t>Prise en charge tiers</t>
  </si>
  <si>
    <t>Répartition garde</t>
  </si>
  <si>
    <t>Total participation parent 1</t>
  </si>
  <si>
    <t>Total participation parent 2</t>
  </si>
  <si>
    <t xml:space="preserve"> </t>
  </si>
  <si>
    <t>Télécommunication</t>
  </si>
  <si>
    <t>Part au loyer enfants</t>
  </si>
  <si>
    <t>Nb enfants</t>
  </si>
  <si>
    <t>Taxe déchets</t>
  </si>
  <si>
    <t>TOTAL revenus</t>
  </si>
  <si>
    <t>Reste</t>
  </si>
  <si>
    <t>Couts direct</t>
  </si>
  <si>
    <t>Participation dispo</t>
  </si>
  <si>
    <t>Contrib prise en charge en faveur parent 2</t>
  </si>
  <si>
    <t>Contrib prise en charge en faveur parent 1</t>
  </si>
  <si>
    <t>Coût assumable parent 1</t>
  </si>
  <si>
    <t>Coût assumable parent 2</t>
  </si>
  <si>
    <t>Si Disponible négatif du parent non-gardien, adapter les charges</t>
  </si>
  <si>
    <t>Force manuellement disponible retenu 1 ou 2</t>
  </si>
  <si>
    <t>0 ou vide:auto   1:dispo1      2:dispo2</t>
  </si>
  <si>
    <t>Caution loyer</t>
  </si>
  <si>
    <t>Autres charges</t>
  </si>
  <si>
    <t>a vérifier ds garde alternée</t>
  </si>
  <si>
    <t xml:space="preserve">Revenus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</si>
</sst>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9"/>
      <color indexed="81"/>
      <name val="Tahoma"/>
      <family val="2"/>
    </font>
    <font>
      <b/>
      <sz val="9"/>
      <color indexed="81"/>
      <name val="Tahoma"/>
      <family val="2"/>
    </font>
    <font>
      <sz val="18"/>
      <color theme="1"/>
      <name val="Arial"/>
      <family val="2"/>
    </font>
    <font>
      <sz val="11"/>
      <color theme="1"/>
      <name val="Arial"/>
      <family val="2"/>
    </font>
    <font>
      <b/>
      <sz val="11"/>
      <name val="Arial"/>
      <family val="2"/>
    </font>
    <font>
      <b/>
      <sz val="11"/>
      <color rgb="FF0070C0"/>
      <name val="Arial"/>
      <family val="2"/>
    </font>
    <font>
      <b/>
      <sz val="11"/>
      <color theme="1"/>
      <name val="Arial"/>
      <family val="2"/>
    </font>
    <font>
      <b/>
      <sz val="12"/>
      <color theme="1"/>
      <name val="Arial"/>
      <family val="2"/>
    </font>
    <font>
      <b/>
      <sz val="14"/>
      <color theme="1"/>
      <name val="Arial"/>
      <family val="2"/>
    </font>
    <font>
      <sz val="11"/>
      <color rgb="FF00A77E"/>
      <name val="Arial"/>
      <family val="2"/>
    </font>
    <font>
      <sz val="11"/>
      <color theme="2" tint="-0.499984740745262"/>
      <name val="Arial"/>
      <family val="2"/>
    </font>
    <font>
      <sz val="11"/>
      <color theme="1"/>
      <name val="Calibri"/>
      <family val="2"/>
      <scheme val="minor"/>
    </font>
    <font>
      <i/>
      <sz val="11"/>
      <color theme="1"/>
      <name val="Arial"/>
      <family val="2"/>
    </font>
    <font>
      <sz val="11"/>
      <color theme="8" tint="-0.249977111117893"/>
      <name val="Arial"/>
      <family val="2"/>
    </font>
  </fonts>
  <fills count="9">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E3ABFF"/>
        <bgColor indexed="64"/>
      </patternFill>
    </fill>
    <fill>
      <patternFill patternType="solid">
        <fgColor rgb="FFCC66FF"/>
        <bgColor indexed="64"/>
      </patternFill>
    </fill>
    <fill>
      <patternFill patternType="solid">
        <fgColor theme="8" tint="0.59999389629810485"/>
        <bgColor indexed="64"/>
      </patternFill>
    </fill>
    <fill>
      <patternFill patternType="solid">
        <fgColor theme="3"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9" fontId="12" fillId="0" borderId="0" applyFont="0" applyFill="0" applyBorder="0" applyAlignment="0" applyProtection="0"/>
  </cellStyleXfs>
  <cellXfs count="101">
    <xf numFmtId="0" fontId="0" fillId="0" borderId="0" xfId="0"/>
    <xf numFmtId="0" fontId="4" fillId="2" borderId="7" xfId="0" applyFont="1" applyFill="1" applyBorder="1"/>
    <xf numFmtId="0" fontId="4" fillId="0" borderId="3" xfId="0" applyFont="1" applyBorder="1"/>
    <xf numFmtId="0" fontId="4" fillId="0" borderId="1" xfId="0" applyFont="1" applyBorder="1"/>
    <xf numFmtId="0" fontId="4" fillId="2" borderId="0" xfId="0" applyFont="1" applyFill="1" applyAlignment="1">
      <alignment horizontal="center" vertical="top"/>
    </xf>
    <xf numFmtId="0" fontId="5" fillId="0" borderId="1" xfId="0" applyFont="1" applyBorder="1" applyAlignment="1">
      <alignment horizontal="left" vertical="top" wrapText="1"/>
    </xf>
    <xf numFmtId="0" fontId="7" fillId="0" borderId="9" xfId="0" applyFont="1" applyBorder="1" applyAlignment="1">
      <alignment horizontal="center" vertical="top"/>
    </xf>
    <xf numFmtId="0" fontId="4" fillId="0" borderId="1" xfId="0" applyFont="1" applyBorder="1" applyAlignment="1">
      <alignment wrapText="1"/>
    </xf>
    <xf numFmtId="4" fontId="4" fillId="0" borderId="1" xfId="0" applyNumberFormat="1" applyFont="1" applyBorder="1"/>
    <xf numFmtId="0" fontId="4" fillId="0" borderId="9" xfId="0" applyFont="1" applyBorder="1"/>
    <xf numFmtId="0" fontId="4" fillId="2" borderId="0" xfId="0" applyFont="1" applyFill="1"/>
    <xf numFmtId="0" fontId="9" fillId="0" borderId="9" xfId="0" applyFont="1" applyBorder="1"/>
    <xf numFmtId="0" fontId="4" fillId="0" borderId="0" xfId="0" applyFont="1"/>
    <xf numFmtId="0" fontId="7" fillId="0" borderId="9" xfId="0" applyFont="1" applyBorder="1"/>
    <xf numFmtId="0" fontId="4" fillId="0" borderId="6" xfId="0" applyFont="1" applyBorder="1"/>
    <xf numFmtId="0" fontId="4" fillId="0" borderId="4" xfId="0" applyFont="1" applyBorder="1"/>
    <xf numFmtId="0" fontId="7" fillId="0" borderId="0" xfId="0" applyFont="1"/>
    <xf numFmtId="0" fontId="10" fillId="0" borderId="0" xfId="0" applyFont="1"/>
    <xf numFmtId="0" fontId="4" fillId="0" borderId="8" xfId="0" applyFont="1" applyBorder="1"/>
    <xf numFmtId="0" fontId="4" fillId="0" borderId="5" xfId="0" applyFont="1" applyBorder="1"/>
    <xf numFmtId="0" fontId="7" fillId="2" borderId="0" xfId="0" applyFont="1" applyFill="1"/>
    <xf numFmtId="0" fontId="7" fillId="0" borderId="0" xfId="0" applyFont="1" applyAlignment="1">
      <alignment horizontal="center" vertical="top"/>
    </xf>
    <xf numFmtId="0" fontId="7" fillId="0" borderId="1" xfId="0" applyFont="1" applyBorder="1" applyAlignment="1">
      <alignment horizontal="center" vertical="top" wrapText="1"/>
    </xf>
    <xf numFmtId="4" fontId="4" fillId="0" borderId="1" xfId="0" applyNumberFormat="1" applyFont="1" applyBorder="1" applyAlignment="1">
      <alignment wrapText="1"/>
    </xf>
    <xf numFmtId="0" fontId="4" fillId="0" borderId="5" xfId="0" applyFont="1" applyBorder="1" applyAlignment="1">
      <alignment wrapText="1"/>
    </xf>
    <xf numFmtId="0" fontId="4" fillId="0" borderId="10" xfId="0" applyFont="1" applyBorder="1"/>
    <xf numFmtId="0" fontId="4" fillId="0" borderId="2" xfId="0" applyFont="1" applyBorder="1"/>
    <xf numFmtId="0" fontId="4" fillId="0" borderId="0" xfId="0" applyFont="1" applyAlignment="1">
      <alignment wrapText="1"/>
    </xf>
    <xf numFmtId="0" fontId="7" fillId="3" borderId="1" xfId="0" applyFont="1" applyFill="1" applyBorder="1" applyAlignment="1">
      <alignment horizontal="center" vertical="top"/>
    </xf>
    <xf numFmtId="4" fontId="9" fillId="4" borderId="1" xfId="0" applyNumberFormat="1" applyFont="1" applyFill="1" applyBorder="1"/>
    <xf numFmtId="1" fontId="11" fillId="0" borderId="1" xfId="0" applyNumberFormat="1" applyFont="1" applyBorder="1" applyAlignment="1">
      <alignment horizontal="center" vertical="top"/>
    </xf>
    <xf numFmtId="0" fontId="7" fillId="5" borderId="1" xfId="0" applyFont="1" applyFill="1" applyBorder="1" applyAlignment="1">
      <alignment horizontal="center" vertical="top"/>
    </xf>
    <xf numFmtId="4" fontId="9" fillId="5" borderId="1" xfId="0" applyNumberFormat="1" applyFont="1" applyFill="1" applyBorder="1"/>
    <xf numFmtId="0" fontId="7" fillId="0" borderId="0" xfId="0" applyFont="1" applyAlignment="1">
      <alignment horizontal="center" shrinkToFit="1"/>
    </xf>
    <xf numFmtId="0" fontId="9" fillId="0" borderId="0" xfId="0" applyFont="1"/>
    <xf numFmtId="0" fontId="7" fillId="0" borderId="1" xfId="0" applyFont="1" applyBorder="1" applyAlignment="1">
      <alignment horizontal="center" shrinkToFit="1"/>
    </xf>
    <xf numFmtId="9" fontId="7" fillId="0" borderId="1" xfId="1" applyFont="1" applyBorder="1" applyAlignment="1">
      <alignment horizontal="center" shrinkToFit="1"/>
    </xf>
    <xf numFmtId="0" fontId="4" fillId="2" borderId="1" xfId="0" applyFont="1" applyFill="1" applyBorder="1" applyAlignment="1">
      <alignment wrapText="1"/>
    </xf>
    <xf numFmtId="0" fontId="4" fillId="2" borderId="1" xfId="0" applyFont="1" applyFill="1" applyBorder="1"/>
    <xf numFmtId="0" fontId="7" fillId="0" borderId="1" xfId="0" applyFont="1" applyBorder="1"/>
    <xf numFmtId="4" fontId="7" fillId="2" borderId="1" xfId="0" applyNumberFormat="1" applyFont="1" applyFill="1" applyBorder="1"/>
    <xf numFmtId="9" fontId="4" fillId="0" borderId="1" xfId="1" applyFont="1" applyBorder="1"/>
    <xf numFmtId="164" fontId="4" fillId="2" borderId="1" xfId="0" applyNumberFormat="1" applyFont="1" applyFill="1" applyBorder="1"/>
    <xf numFmtId="4" fontId="9" fillId="4" borderId="0" xfId="0" applyNumberFormat="1" applyFont="1" applyFill="1"/>
    <xf numFmtId="4" fontId="9" fillId="5" borderId="0" xfId="0" applyNumberFormat="1" applyFont="1" applyFill="1"/>
    <xf numFmtId="0" fontId="4" fillId="7" borderId="0" xfId="0" applyFont="1" applyFill="1"/>
    <xf numFmtId="164" fontId="7" fillId="2" borderId="1" xfId="0" applyNumberFormat="1" applyFont="1" applyFill="1" applyBorder="1"/>
    <xf numFmtId="0" fontId="7" fillId="0" borderId="3" xfId="0" applyFont="1" applyBorder="1"/>
    <xf numFmtId="0" fontId="7" fillId="0" borderId="8" xfId="0" applyFont="1" applyBorder="1"/>
    <xf numFmtId="0" fontId="7" fillId="0" borderId="5" xfId="0" applyFont="1" applyBorder="1"/>
    <xf numFmtId="0" fontId="4" fillId="0" borderId="0" xfId="0" applyFont="1" applyAlignment="1">
      <alignment horizontal="center" vertical="top"/>
    </xf>
    <xf numFmtId="0" fontId="4" fillId="2" borderId="9" xfId="0" applyFont="1" applyFill="1" applyBorder="1" applyAlignment="1">
      <alignment wrapText="1"/>
    </xf>
    <xf numFmtId="0" fontId="4" fillId="2" borderId="0" xfId="0" applyFont="1" applyFill="1" applyAlignment="1">
      <alignment wrapText="1"/>
    </xf>
    <xf numFmtId="0" fontId="8" fillId="0" borderId="0" xfId="0" applyFont="1" applyAlignment="1">
      <alignment wrapText="1"/>
    </xf>
    <xf numFmtId="4" fontId="9" fillId="0" borderId="0" xfId="0" applyNumberFormat="1" applyFont="1"/>
    <xf numFmtId="0" fontId="7" fillId="2" borderId="0" xfId="0" applyFont="1" applyFill="1" applyAlignment="1">
      <alignment horizontal="center" wrapText="1"/>
    </xf>
    <xf numFmtId="4" fontId="9" fillId="0" borderId="6" xfId="0" applyNumberFormat="1" applyFont="1" applyBorder="1"/>
    <xf numFmtId="0" fontId="7" fillId="0" borderId="0" xfId="0" applyFont="1" applyAlignment="1">
      <alignment horizontal="center" wrapText="1"/>
    </xf>
    <xf numFmtId="0" fontId="4" fillId="0" borderId="8" xfId="0" applyFont="1" applyBorder="1" applyAlignment="1">
      <alignment horizontal="center" vertical="top"/>
    </xf>
    <xf numFmtId="0" fontId="4" fillId="0" borderId="5" xfId="0" applyFont="1" applyBorder="1" applyAlignment="1">
      <alignment horizontal="center" vertical="top"/>
    </xf>
    <xf numFmtId="14" fontId="5" fillId="0" borderId="0" xfId="0" applyNumberFormat="1" applyFont="1" applyAlignment="1">
      <alignment horizontal="center" vertical="top"/>
    </xf>
    <xf numFmtId="14" fontId="6" fillId="0" borderId="0" xfId="0" applyNumberFormat="1" applyFont="1" applyAlignment="1">
      <alignment horizontal="center" vertical="top"/>
    </xf>
    <xf numFmtId="0" fontId="5" fillId="8" borderId="10" xfId="0" applyFont="1" applyFill="1" applyBorder="1" applyAlignment="1">
      <alignment horizontal="center" vertical="top"/>
    </xf>
    <xf numFmtId="0" fontId="5" fillId="8" borderId="11" xfId="0" applyFont="1" applyFill="1" applyBorder="1" applyAlignment="1">
      <alignment horizontal="center" vertical="top"/>
    </xf>
    <xf numFmtId="0" fontId="5" fillId="8" borderId="8" xfId="0" applyFont="1" applyFill="1" applyBorder="1" applyAlignment="1">
      <alignment horizontal="center" vertical="top"/>
    </xf>
    <xf numFmtId="4" fontId="8" fillId="8" borderId="1" xfId="0" applyNumberFormat="1" applyFont="1" applyFill="1" applyBorder="1"/>
    <xf numFmtId="0" fontId="0" fillId="0" borderId="1" xfId="0" applyBorder="1"/>
    <xf numFmtId="9" fontId="0" fillId="0" borderId="1" xfId="1" applyFont="1" applyBorder="1"/>
    <xf numFmtId="4" fontId="4" fillId="2" borderId="0" xfId="0" applyNumberFormat="1" applyFont="1" applyFill="1"/>
    <xf numFmtId="4" fontId="0" fillId="0" borderId="0" xfId="0" applyNumberFormat="1"/>
    <xf numFmtId="2" fontId="0" fillId="0" borderId="0" xfId="0" applyNumberFormat="1"/>
    <xf numFmtId="4" fontId="8" fillId="0" borderId="5" xfId="0" applyNumberFormat="1" applyFont="1" applyBorder="1"/>
    <xf numFmtId="4" fontId="4" fillId="0" borderId="1" xfId="0" applyNumberFormat="1" applyFont="1" applyBorder="1" applyProtection="1">
      <protection locked="0"/>
    </xf>
    <xf numFmtId="4" fontId="13" fillId="0" borderId="1" xfId="0" applyNumberFormat="1" applyFont="1" applyBorder="1" applyProtection="1">
      <protection locked="0"/>
    </xf>
    <xf numFmtId="0" fontId="4" fillId="0" borderId="1" xfId="0" applyFont="1" applyBorder="1" applyProtection="1">
      <protection locked="0"/>
    </xf>
    <xf numFmtId="9" fontId="7" fillId="0" borderId="2" xfId="1" applyFont="1" applyBorder="1" applyAlignment="1" applyProtection="1">
      <alignment horizontal="center" shrinkToFit="1"/>
      <protection locked="0"/>
    </xf>
    <xf numFmtId="0" fontId="4" fillId="2" borderId="1" xfId="0" applyFont="1" applyFill="1" applyBorder="1" applyAlignment="1" applyProtection="1">
      <alignment horizontal="center" vertical="center"/>
      <protection locked="0"/>
    </xf>
    <xf numFmtId="0" fontId="7" fillId="0" borderId="1" xfId="0" applyFont="1" applyBorder="1" applyAlignment="1" applyProtection="1">
      <alignment horizontal="center" vertical="top"/>
      <protection locked="0"/>
    </xf>
    <xf numFmtId="1" fontId="11" fillId="0" borderId="1" xfId="0" applyNumberFormat="1" applyFont="1" applyBorder="1" applyAlignment="1" applyProtection="1">
      <alignment horizontal="center" vertical="top"/>
      <protection locked="0"/>
    </xf>
    <xf numFmtId="4" fontId="4" fillId="0" borderId="5" xfId="0" applyNumberFormat="1" applyFont="1" applyBorder="1" applyProtection="1">
      <protection locked="0"/>
    </xf>
    <xf numFmtId="0" fontId="14" fillId="2" borderId="1" xfId="0" applyFont="1" applyFill="1" applyBorder="1" applyProtection="1">
      <protection locked="0"/>
    </xf>
    <xf numFmtId="0" fontId="14" fillId="0" borderId="1" xfId="0" applyFont="1" applyBorder="1" applyProtection="1">
      <protection locked="0"/>
    </xf>
    <xf numFmtId="0" fontId="5" fillId="0" borderId="1" xfId="0" applyFont="1" applyBorder="1" applyAlignment="1" applyProtection="1">
      <alignment horizontal="left" vertical="top" wrapText="1"/>
      <protection locked="0"/>
    </xf>
    <xf numFmtId="0" fontId="4" fillId="0" borderId="1" xfId="0" applyFont="1" applyBorder="1" applyAlignment="1" applyProtection="1">
      <alignment wrapText="1"/>
      <protection locked="0"/>
    </xf>
    <xf numFmtId="0" fontId="8" fillId="0" borderId="1" xfId="0" applyFont="1" applyBorder="1" applyAlignment="1" applyProtection="1">
      <alignment wrapText="1"/>
      <protection locked="0"/>
    </xf>
    <xf numFmtId="0" fontId="4" fillId="0" borderId="1" xfId="0" applyFont="1" applyBorder="1" applyAlignment="1" applyProtection="1">
      <alignment horizontal="left" vertical="center" wrapText="1"/>
      <protection locked="0"/>
    </xf>
    <xf numFmtId="0" fontId="8" fillId="6" borderId="1" xfId="0" applyFont="1" applyFill="1" applyBorder="1" applyAlignment="1" applyProtection="1">
      <alignment wrapText="1"/>
      <protection locked="0"/>
    </xf>
    <xf numFmtId="0" fontId="8" fillId="6" borderId="9" xfId="0" applyFont="1" applyFill="1" applyBorder="1" applyAlignment="1" applyProtection="1">
      <alignment wrapText="1"/>
      <protection locked="0"/>
    </xf>
    <xf numFmtId="4" fontId="4" fillId="0" borderId="1" xfId="0" applyNumberFormat="1" applyFont="1" applyBorder="1" applyAlignment="1" applyProtection="1">
      <alignment wrapText="1"/>
      <protection locked="0"/>
    </xf>
    <xf numFmtId="4" fontId="4" fillId="0" borderId="5" xfId="0" applyNumberFormat="1" applyFont="1" applyBorder="1" applyAlignment="1" applyProtection="1">
      <alignment wrapText="1"/>
      <protection locked="0"/>
    </xf>
    <xf numFmtId="4" fontId="8" fillId="0" borderId="5" xfId="0" applyNumberFormat="1" applyFont="1" applyBorder="1" applyProtection="1">
      <protection locked="0"/>
    </xf>
    <xf numFmtId="4" fontId="8" fillId="8" borderId="1" xfId="0" applyNumberFormat="1" applyFont="1" applyFill="1" applyBorder="1" applyProtection="1">
      <protection locked="0"/>
    </xf>
    <xf numFmtId="0" fontId="14" fillId="2" borderId="1" xfId="0" applyFont="1" applyFill="1" applyBorder="1" applyAlignment="1" applyProtection="1">
      <alignment wrapText="1"/>
      <protection locked="0"/>
    </xf>
    <xf numFmtId="0" fontId="7" fillId="2" borderId="1" xfId="0" applyFont="1" applyFill="1" applyBorder="1" applyAlignment="1" applyProtection="1">
      <alignment wrapText="1"/>
      <protection locked="0"/>
    </xf>
    <xf numFmtId="0" fontId="4" fillId="2" borderId="1" xfId="0" applyFont="1" applyFill="1" applyBorder="1" applyAlignment="1" applyProtection="1">
      <alignment wrapText="1"/>
      <protection locked="0"/>
    </xf>
    <xf numFmtId="0" fontId="4" fillId="0" borderId="1" xfId="0" applyFont="1" applyBorder="1" applyAlignment="1">
      <alignment horizontal="center"/>
    </xf>
    <xf numFmtId="0" fontId="7" fillId="0" borderId="0" xfId="0" applyFont="1" applyAlignment="1">
      <alignment horizontal="center" vertical="center" wrapText="1"/>
    </xf>
    <xf numFmtId="0" fontId="7" fillId="0" borderId="0" xfId="0" applyFont="1" applyAlignment="1">
      <alignment horizontal="center" shrinkToFit="1"/>
    </xf>
    <xf numFmtId="0" fontId="7" fillId="2" borderId="0" xfId="0" applyFont="1" applyFill="1" applyAlignment="1">
      <alignment horizontal="center" wrapText="1"/>
    </xf>
    <xf numFmtId="0" fontId="3" fillId="0" borderId="7" xfId="0" applyFont="1" applyBorder="1" applyAlignment="1">
      <alignment horizontal="center" vertical="top"/>
    </xf>
    <xf numFmtId="14" fontId="5" fillId="0" borderId="0" xfId="0" applyNumberFormat="1" applyFont="1" applyAlignment="1">
      <alignment horizontal="center" vertical="top"/>
    </xf>
  </cellXfs>
  <cellStyles count="2">
    <cellStyle name="Normal" xfId="0" builtinId="0"/>
    <cellStyle name="Pourcentage" xfId="1" builtinId="5"/>
  </cellStyles>
  <dxfs count="0"/>
  <tableStyles count="0" defaultTableStyle="TableStyleMedium2" defaultPivotStyle="PivotStyleLight16"/>
  <colors>
    <mruColors>
      <color rgb="FFCC66FF"/>
      <color rgb="FFCCCCFF"/>
      <color rgb="FFFF99FF"/>
      <color rgb="FFE3ABFF"/>
      <color rgb="FFFFCCFF"/>
      <color rgb="FFFFE285"/>
      <color rgb="FFFF9999"/>
      <color rgb="FF99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Catalina CONSTANTINA" id="{9FDC9201-FF8A-404A-9E37-0A1F81768C31}" userId="03485a49211e6506" providerId="Windows Live"/>
  <person displayName="etudeslb" id="{B8246817-43CF-413D-84F3-E55F1BA1749B}" userId="S-1-5-21-3763403584-3173840420-292378556-1111" providerId="AD"/>
</personList>
</file>

<file path=xl/theme/theme1.xml><?xml version="1.0" encoding="utf-8"?>
<a:theme xmlns:a="http://schemas.openxmlformats.org/drawingml/2006/main" name="Thème Offic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4" dT="2021-02-05T09:13:09.28" personId="{9FDC9201-FF8A-404A-9E37-0A1F81768C31}" id="{BBB35C24-A2FF-41F0-9926-82C465447A43}">
    <text>Le montant de base comprend: les frais pour l’alimentation, les vêtements et le linge y compris leur entretien, les soins corporels et de santé, l’entretien du logement, les assurances privées, les frais culturels ainsi que les dépenses pour l’éclairage, le courant électrique ou le gaz pour la cuisine</text>
  </threadedComment>
  <threadedComment ref="B15" dT="2021-02-05T09:13:33.21" personId="{9FDC9201-FF8A-404A-9E37-0A1F81768C31}" id="{24641891-6990-40FC-BBA5-4AE68C9CF87A}">
    <text>Déduire la part des enfants</text>
  </threadedComment>
  <threadedComment ref="B16" dT="2021-02-05T09:13:33.21" personId="{9FDC9201-FF8A-404A-9E37-0A1F81768C31}" id="{F99220DF-2C4F-4317-A8D8-21CE14F18F83}">
    <text>Déduire la part des enfants</text>
  </threadedComment>
  <threadedComment ref="B21" dT="2021-02-05T09:14:13.60" personId="{9FDC9201-FF8A-404A-9E37-0A1F81768C31}" id="{2033703C-72D0-4C77-BDDD-8916342159F7}">
    <text>La nécessité d’une voiture est reconnue si son utilisation permet une économie de temps de deux heures par jour. 
Selon directives LP
Scooter:CHF 30 pour l'usure/carburant
Moto: CHF 55 pour l'usure/carburant
Véhicule automobile: Sans amortissement</text>
  </threadedComment>
  <threadedComment ref="C21" dT="2021-03-12T13:42:45.86" personId="{9FDC9201-FF8A-404A-9E37-0A1F81768C31}" id="{FBEB7955-E6B7-48EF-BA7A-84DE644AC11C}">
    <text>J'ai repris les frais professionnels forfaitaires selon DI (pas sûre que cela passe sous la nouvelle jurisprudence)</text>
  </threadedComment>
  <threadedComment ref="B22" dT="2021-02-05T09:14:50.13" personId="{9FDC9201-FF8A-404A-9E37-0A1F81768C31}" id="{16E7B540-C300-4577-AAC9-7BA2EEF185E7}">
    <text>Selon Directives LP : 
De CHF 9 à CHF 11 
Besoins alimentaires accrus pour travaux physiques en équipe ou de nuit</text>
  </threadedComment>
  <threadedComment ref="C22" dT="2021-03-05T14:46:31.09" personId="{B8246817-43CF-413D-84F3-E55F1BA1749B}" id="{396CFA8B-8741-4DAD-85F8-69375DB592A2}">
    <text>Selon DI 2019</text>
  </threadedComment>
  <threadedComment ref="B23" dT="2021-02-05T09:14:32.90" personId="{9FDC9201-FF8A-404A-9E37-0A1F81768C31}" id="{D1F9757C-2F69-4751-B7FE-B7209BA8E02B}">
    <text>La nécessité d’une voiture est reconnue si son utilisation permet une économie de temps de deux heures par jour</text>
  </threadedComment>
  <threadedComment ref="B53" dT="2021-02-05T09:09:16.00" personId="{9FDC9201-FF8A-404A-9E37-0A1F81768C31}" id="{C23A1F62-8F3A-4044-AB32-42D41A2B7AE3}">
    <text>Insérer la date de naissance pour chaque personne; l'âge sera calculé automatiquement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4"/>
  <sheetViews>
    <sheetView showGridLines="0" tabSelected="1" zoomScale="68" zoomScaleNormal="70" workbookViewId="0">
      <selection activeCell="E18" sqref="E18"/>
    </sheetView>
  </sheetViews>
  <sheetFormatPr baseColWidth="10" defaultColWidth="11.453125" defaultRowHeight="14" x14ac:dyDescent="0.3"/>
  <cols>
    <col min="1" max="1" width="11.453125" style="12"/>
    <col min="2" max="2" width="27.7265625" style="7" customWidth="1"/>
    <col min="3" max="3" width="18.81640625" style="3" customWidth="1"/>
    <col min="4" max="4" width="18.7265625" style="26" customWidth="1"/>
    <col min="5" max="5" width="26.7265625" style="9" customWidth="1"/>
    <col min="6" max="6" width="19.453125" style="3" customWidth="1"/>
    <col min="7" max="7" width="14.81640625" style="3" customWidth="1"/>
    <col min="8" max="8" width="18.7265625" style="3" customWidth="1"/>
    <col min="9" max="16384" width="11.453125" style="3"/>
  </cols>
  <sheetData>
    <row r="1" spans="1:20" s="15" customFormat="1" ht="22.5" x14ac:dyDescent="0.3">
      <c r="A1" s="12"/>
      <c r="B1" s="99"/>
      <c r="C1" s="99"/>
      <c r="D1" s="99"/>
      <c r="E1" s="99"/>
      <c r="F1" s="99"/>
      <c r="G1" s="99"/>
      <c r="H1" s="99"/>
      <c r="I1" s="1"/>
      <c r="J1" s="1"/>
      <c r="K1" s="1"/>
      <c r="L1" s="1"/>
      <c r="M1" s="1"/>
      <c r="N1" s="1"/>
      <c r="O1" s="1"/>
      <c r="P1" s="1"/>
      <c r="Q1" s="1"/>
      <c r="R1" s="1"/>
      <c r="S1" s="1"/>
      <c r="T1" s="14"/>
    </row>
    <row r="2" spans="1:20" s="50" customFormat="1" ht="14.5" customHeight="1" x14ac:dyDescent="0.35">
      <c r="B2" s="100" t="s">
        <v>24</v>
      </c>
      <c r="C2" s="100"/>
      <c r="D2" s="100"/>
      <c r="E2" s="61"/>
      <c r="F2" s="4"/>
      <c r="G2" s="4"/>
      <c r="H2" s="4"/>
      <c r="I2" s="4"/>
      <c r="J2" s="4"/>
      <c r="K2" s="4"/>
      <c r="L2" s="4"/>
      <c r="M2" s="4"/>
      <c r="N2" s="4"/>
      <c r="O2" s="4"/>
      <c r="P2" s="4"/>
    </row>
    <row r="3" spans="1:20" s="50" customFormat="1" ht="14.5" customHeight="1" x14ac:dyDescent="0.35">
      <c r="B3" s="60"/>
      <c r="C3" s="60"/>
      <c r="D3" s="60"/>
      <c r="E3" s="61"/>
      <c r="F3" s="4"/>
      <c r="G3" s="4"/>
      <c r="H3" s="4"/>
      <c r="I3" s="4"/>
      <c r="J3" s="4"/>
      <c r="K3" s="4"/>
      <c r="L3" s="4"/>
      <c r="M3" s="4"/>
      <c r="N3" s="4"/>
      <c r="O3" s="4"/>
      <c r="P3" s="4"/>
    </row>
    <row r="4" spans="1:20" s="59" customFormat="1" ht="14.5" customHeight="1" x14ac:dyDescent="0.35">
      <c r="A4" s="50"/>
      <c r="B4" s="82"/>
      <c r="C4" s="28" t="s">
        <v>54</v>
      </c>
      <c r="D4" s="31" t="s">
        <v>55</v>
      </c>
      <c r="E4" s="6"/>
      <c r="F4" s="4"/>
      <c r="G4" s="4"/>
      <c r="H4" s="4"/>
      <c r="I4" s="4"/>
      <c r="J4" s="4"/>
      <c r="K4" s="4"/>
      <c r="L4" s="4"/>
      <c r="M4" s="4"/>
      <c r="N4" s="4"/>
      <c r="O4" s="4"/>
      <c r="P4" s="4"/>
      <c r="Q4" s="58"/>
    </row>
    <row r="5" spans="1:20" ht="14.15" customHeight="1" x14ac:dyDescent="0.3">
      <c r="B5" s="83" t="s">
        <v>82</v>
      </c>
      <c r="C5" s="72">
        <v>5000</v>
      </c>
      <c r="D5" s="72">
        <v>4000</v>
      </c>
      <c r="F5" s="10"/>
      <c r="G5" s="10"/>
      <c r="H5" s="10"/>
      <c r="I5" s="10"/>
      <c r="J5" s="10"/>
      <c r="K5" s="10"/>
      <c r="L5" s="10"/>
      <c r="M5" s="10"/>
      <c r="N5" s="10"/>
      <c r="O5" s="10"/>
      <c r="P5" s="10"/>
      <c r="Q5" s="2"/>
    </row>
    <row r="6" spans="1:20" x14ac:dyDescent="0.3">
      <c r="B6" s="83" t="s">
        <v>3</v>
      </c>
      <c r="C6" s="72">
        <v>0</v>
      </c>
      <c r="D6" s="72">
        <v>0</v>
      </c>
      <c r="F6" s="10"/>
      <c r="G6" s="10"/>
      <c r="H6" s="10"/>
      <c r="I6" s="10"/>
      <c r="J6" s="10"/>
      <c r="K6" s="10"/>
      <c r="L6" s="10"/>
      <c r="M6" s="10"/>
      <c r="N6" s="10"/>
      <c r="O6" s="10"/>
      <c r="P6" s="10"/>
      <c r="Q6" s="2"/>
    </row>
    <row r="7" spans="1:20" x14ac:dyDescent="0.3">
      <c r="B7" s="83" t="s">
        <v>2</v>
      </c>
      <c r="C7" s="72">
        <v>0</v>
      </c>
      <c r="D7" s="72">
        <v>0</v>
      </c>
      <c r="F7" s="10"/>
      <c r="G7" s="10"/>
      <c r="H7" s="10"/>
      <c r="I7" s="10"/>
      <c r="J7" s="10"/>
      <c r="K7" s="10"/>
      <c r="L7" s="10"/>
      <c r="M7" s="10"/>
      <c r="N7" s="10"/>
      <c r="O7" s="10"/>
      <c r="P7" s="10"/>
      <c r="Q7" s="2"/>
    </row>
    <row r="8" spans="1:20" ht="28" x14ac:dyDescent="0.3">
      <c r="B8" s="83" t="s">
        <v>4</v>
      </c>
      <c r="C8" s="72">
        <v>0</v>
      </c>
      <c r="D8" s="72">
        <v>0</v>
      </c>
      <c r="F8" s="10"/>
      <c r="G8" s="10"/>
      <c r="H8" s="10"/>
      <c r="I8" s="10"/>
      <c r="J8" s="10"/>
      <c r="K8" s="10"/>
      <c r="L8" s="10"/>
      <c r="M8" s="10"/>
      <c r="N8" s="10"/>
      <c r="O8" s="10"/>
      <c r="P8" s="10"/>
      <c r="Q8" s="2"/>
    </row>
    <row r="9" spans="1:20" x14ac:dyDescent="0.3">
      <c r="B9" s="83" t="s">
        <v>17</v>
      </c>
      <c r="C9" s="72">
        <v>0</v>
      </c>
      <c r="D9" s="72">
        <v>0</v>
      </c>
      <c r="F9" s="10"/>
      <c r="G9" s="10"/>
      <c r="H9" s="10"/>
      <c r="I9" s="10"/>
      <c r="J9" s="10"/>
      <c r="K9" s="10"/>
      <c r="L9" s="10"/>
      <c r="M9" s="10"/>
      <c r="N9" s="10"/>
      <c r="O9" s="10"/>
      <c r="P9" s="10"/>
      <c r="Q9" s="2"/>
    </row>
    <row r="10" spans="1:20" ht="18" x14ac:dyDescent="0.4">
      <c r="B10" s="84" t="s">
        <v>6</v>
      </c>
      <c r="C10" s="29">
        <f>SUM(C5*12+C6+C7)/12+SUM(C8:C9)</f>
        <v>5000</v>
      </c>
      <c r="D10" s="32">
        <f>SUM(D5*12+D6+D7)/12+SUM(D8:D9)</f>
        <v>4000</v>
      </c>
      <c r="E10" s="11"/>
      <c r="F10" s="10"/>
      <c r="G10" s="10"/>
      <c r="H10" s="10"/>
      <c r="I10" s="10"/>
      <c r="J10" s="10"/>
      <c r="K10" s="10"/>
      <c r="L10" s="10"/>
      <c r="M10" s="10"/>
      <c r="N10" s="10"/>
      <c r="O10" s="10"/>
      <c r="P10" s="10"/>
      <c r="Q10" s="2"/>
    </row>
    <row r="11" spans="1:20" s="15" customFormat="1" ht="18" x14ac:dyDescent="0.4">
      <c r="A11" s="12"/>
      <c r="B11" s="53"/>
      <c r="C11" s="54"/>
      <c r="D11" s="56"/>
      <c r="E11" s="34" t="s">
        <v>63</v>
      </c>
      <c r="F11" s="10"/>
      <c r="G11" s="10"/>
      <c r="H11" s="10"/>
      <c r="I11" s="10"/>
      <c r="J11" s="10"/>
      <c r="K11" s="10"/>
      <c r="L11" s="10"/>
      <c r="M11" s="10"/>
      <c r="N11" s="10"/>
      <c r="O11" s="10"/>
      <c r="P11" s="10"/>
      <c r="Q11" s="14"/>
    </row>
    <row r="12" spans="1:20" s="12" customFormat="1" ht="21" customHeight="1" x14ac:dyDescent="0.3">
      <c r="B12" s="96" t="s">
        <v>25</v>
      </c>
      <c r="C12" s="96"/>
      <c r="D12" s="96"/>
      <c r="F12" s="10"/>
      <c r="G12" s="10"/>
      <c r="H12" s="10"/>
      <c r="I12" s="10"/>
      <c r="J12" s="10"/>
      <c r="K12" s="10"/>
      <c r="L12" s="10"/>
      <c r="M12" s="10"/>
      <c r="N12" s="10"/>
      <c r="O12" s="10"/>
      <c r="P12" s="10"/>
    </row>
    <row r="13" spans="1:20" s="19" customFormat="1" ht="22.65" customHeight="1" x14ac:dyDescent="0.3">
      <c r="A13" s="12"/>
      <c r="B13" s="57"/>
      <c r="C13" s="57"/>
      <c r="D13" s="57"/>
      <c r="E13" s="12"/>
      <c r="F13" s="10"/>
      <c r="G13" s="10"/>
      <c r="H13" s="10"/>
      <c r="I13" s="10"/>
      <c r="J13" s="10"/>
      <c r="K13" s="10"/>
      <c r="L13" s="10"/>
      <c r="M13" s="10"/>
      <c r="N13" s="10"/>
      <c r="O13" s="10"/>
      <c r="P13" s="10"/>
      <c r="Q13" s="18"/>
    </row>
    <row r="14" spans="1:20" x14ac:dyDescent="0.3">
      <c r="B14" s="85" t="s">
        <v>7</v>
      </c>
      <c r="C14" s="72">
        <v>1200</v>
      </c>
      <c r="D14" s="72">
        <v>1350</v>
      </c>
      <c r="E14" s="13"/>
      <c r="F14" s="10"/>
      <c r="G14" s="10"/>
      <c r="H14" s="10"/>
      <c r="I14" s="10"/>
      <c r="J14" s="10"/>
      <c r="K14" s="10"/>
      <c r="L14" s="10"/>
      <c r="M14" s="10"/>
      <c r="N14" s="10"/>
      <c r="O14" s="10"/>
      <c r="P14" s="10"/>
      <c r="Q14" s="2"/>
    </row>
    <row r="15" spans="1:20" ht="25.5" customHeight="1" x14ac:dyDescent="0.35">
      <c r="B15" s="83" t="s">
        <v>18</v>
      </c>
      <c r="C15" s="73">
        <v>2500</v>
      </c>
      <c r="D15" s="73">
        <v>2000</v>
      </c>
      <c r="F15" s="10"/>
      <c r="G15" s="10"/>
      <c r="H15" s="10"/>
      <c r="I15" s="10"/>
      <c r="J15" s="10"/>
      <c r="K15" s="10"/>
      <c r="L15" s="10"/>
      <c r="M15" s="10"/>
      <c r="N15" s="10"/>
      <c r="O15" s="10"/>
      <c r="P15" s="10"/>
      <c r="Q15" s="2"/>
    </row>
    <row r="16" spans="1:20" ht="25.5" customHeight="1" x14ac:dyDescent="0.3">
      <c r="B16" s="83" t="s">
        <v>43</v>
      </c>
      <c r="C16" s="8">
        <f>IF(nb_enfants=0,C15,IF(P_1&gt;=30%,IF(nb_enfants=1,C15*(1-Paramètres!$C8),IF(nb_enfants=2,(C15*(1-Paramètres!$D8)),IF(nb_enfants=3,(C15*(1-Paramètres!$E8)),C15*(1-Paramètres!$F8)))),C15))</f>
        <v>2500</v>
      </c>
      <c r="D16" s="8">
        <f>IF(nb_enfants=0,D15,IF(P_2&gt;=30%,IF(nb_enfants=1,D15*(1-Paramètres!$C8),IF(nb_enfants=2,(D15*(1-Paramètres!$D8)),IF(nb_enfants=3,(D15*(1-Paramètres!$E8)),D15*(1-Paramètres!$F8)))),D15))</f>
        <v>2000</v>
      </c>
      <c r="F16" s="10"/>
      <c r="G16" s="10"/>
      <c r="H16" s="10"/>
      <c r="I16" s="10"/>
      <c r="J16" s="10"/>
      <c r="K16" s="10"/>
      <c r="L16" s="10"/>
      <c r="M16" s="10"/>
      <c r="N16" s="10"/>
      <c r="O16" s="10"/>
      <c r="P16" s="10"/>
      <c r="Q16" s="2"/>
    </row>
    <row r="17" spans="2:20" x14ac:dyDescent="0.3">
      <c r="B17" s="83" t="s">
        <v>8</v>
      </c>
      <c r="C17" s="72">
        <v>0</v>
      </c>
      <c r="D17" s="72">
        <v>0</v>
      </c>
      <c r="F17" s="10"/>
      <c r="G17" s="10"/>
      <c r="H17" s="10"/>
      <c r="I17" s="10"/>
      <c r="J17" s="10"/>
      <c r="K17" s="10"/>
      <c r="L17" s="10"/>
      <c r="M17" s="10"/>
      <c r="N17" s="10"/>
      <c r="O17" s="10"/>
      <c r="P17" s="10"/>
      <c r="Q17" s="2"/>
    </row>
    <row r="18" spans="2:20" x14ac:dyDescent="0.3">
      <c r="B18" s="83" t="s">
        <v>9</v>
      </c>
      <c r="C18" s="72">
        <v>0</v>
      </c>
      <c r="D18" s="72">
        <v>0</v>
      </c>
      <c r="F18" s="10"/>
      <c r="G18" s="10"/>
      <c r="H18" s="10"/>
      <c r="I18" s="10"/>
      <c r="J18" s="10"/>
      <c r="K18" s="10"/>
      <c r="L18" s="10"/>
      <c r="M18" s="10"/>
      <c r="N18" s="10"/>
      <c r="O18" s="10"/>
      <c r="P18" s="10"/>
      <c r="Q18" s="2"/>
    </row>
    <row r="19" spans="2:20" ht="28" x14ac:dyDescent="0.3">
      <c r="B19" s="83" t="s">
        <v>10</v>
      </c>
      <c r="C19" s="72">
        <v>545.95000000000005</v>
      </c>
      <c r="D19" s="72">
        <v>587.35</v>
      </c>
      <c r="F19" s="10"/>
      <c r="G19" s="10"/>
      <c r="H19" s="10"/>
      <c r="I19" s="10"/>
      <c r="J19" s="10"/>
      <c r="K19" s="10"/>
      <c r="L19" s="10"/>
      <c r="M19" s="10"/>
      <c r="N19" s="10"/>
      <c r="O19" s="10"/>
      <c r="P19" s="10"/>
      <c r="Q19" s="2"/>
    </row>
    <row r="20" spans="2:20" x14ac:dyDescent="0.3">
      <c r="B20" s="83" t="s">
        <v>58</v>
      </c>
      <c r="C20" s="72"/>
      <c r="D20" s="72">
        <v>0</v>
      </c>
      <c r="F20" s="10"/>
      <c r="G20" s="10"/>
      <c r="H20" s="10"/>
      <c r="I20" s="10"/>
      <c r="J20" s="10"/>
      <c r="K20" s="10"/>
      <c r="L20" s="10"/>
      <c r="M20" s="10"/>
      <c r="N20" s="10"/>
      <c r="O20" s="10"/>
      <c r="P20" s="10"/>
      <c r="Q20" s="2"/>
    </row>
    <row r="21" spans="2:20" x14ac:dyDescent="0.3">
      <c r="B21" s="83" t="s">
        <v>1</v>
      </c>
      <c r="C21" s="72">
        <v>284</v>
      </c>
      <c r="D21" s="72">
        <v>0</v>
      </c>
      <c r="F21" s="10"/>
      <c r="G21" s="10"/>
      <c r="H21" s="10"/>
      <c r="I21" s="10"/>
      <c r="J21" s="10"/>
      <c r="K21" s="10"/>
      <c r="L21" s="10"/>
      <c r="M21" s="10"/>
      <c r="N21" s="10"/>
      <c r="O21" s="10"/>
      <c r="P21" s="10"/>
      <c r="Q21" s="2"/>
    </row>
    <row r="22" spans="2:20" x14ac:dyDescent="0.3">
      <c r="B22" s="83" t="s">
        <v>0</v>
      </c>
      <c r="C22" s="72">
        <v>83</v>
      </c>
      <c r="D22" s="72">
        <v>0</v>
      </c>
      <c r="F22" s="10"/>
      <c r="G22" s="10"/>
      <c r="H22" s="10"/>
      <c r="I22" s="10"/>
      <c r="J22" s="10"/>
      <c r="K22" s="10"/>
      <c r="L22" s="10"/>
      <c r="M22" s="10"/>
      <c r="N22" s="10"/>
      <c r="O22" s="10"/>
      <c r="P22" s="10"/>
      <c r="Q22" s="2"/>
    </row>
    <row r="23" spans="2:20" x14ac:dyDescent="0.3">
      <c r="B23" s="83" t="s">
        <v>13</v>
      </c>
      <c r="C23" s="72">
        <v>580.25</v>
      </c>
      <c r="D23" s="72">
        <v>385.95</v>
      </c>
      <c r="F23" s="10"/>
      <c r="G23" s="10"/>
      <c r="H23" s="10"/>
      <c r="I23" s="10"/>
      <c r="J23" s="10"/>
      <c r="K23" s="10"/>
      <c r="L23" s="10"/>
      <c r="M23" s="10"/>
      <c r="N23" s="10"/>
      <c r="O23" s="10"/>
      <c r="P23" s="10"/>
      <c r="Q23" s="2"/>
    </row>
    <row r="24" spans="2:20" x14ac:dyDescent="0.3">
      <c r="B24" s="83" t="s">
        <v>80</v>
      </c>
      <c r="C24" s="72"/>
      <c r="D24" s="72"/>
      <c r="F24" s="10"/>
      <c r="G24" s="10"/>
      <c r="H24" s="10"/>
      <c r="I24" s="10"/>
      <c r="J24" s="10"/>
      <c r="K24" s="10"/>
      <c r="L24" s="10"/>
      <c r="M24" s="10"/>
      <c r="N24" s="10"/>
      <c r="O24" s="10"/>
      <c r="P24" s="10"/>
      <c r="Q24" s="2"/>
    </row>
    <row r="25" spans="2:20" ht="20.149999999999999" customHeight="1" x14ac:dyDescent="0.4">
      <c r="B25" s="86" t="s">
        <v>14</v>
      </c>
      <c r="C25" s="29">
        <f>C14+SUM(C16:C24)</f>
        <v>5193.2</v>
      </c>
      <c r="D25" s="29">
        <f>D14+SUM(D16:D24)</f>
        <v>4323.2999999999993</v>
      </c>
      <c r="F25" s="10"/>
      <c r="G25" s="10"/>
      <c r="H25" s="10"/>
      <c r="I25" s="10"/>
      <c r="J25" s="10"/>
      <c r="K25" s="10"/>
      <c r="L25" s="10"/>
      <c r="M25" s="10"/>
      <c r="N25" s="10"/>
      <c r="O25" s="10"/>
      <c r="P25" s="10"/>
      <c r="Q25" s="2"/>
    </row>
    <row r="26" spans="2:20" x14ac:dyDescent="0.3">
      <c r="B26" s="83" t="s">
        <v>11</v>
      </c>
      <c r="C26" s="72">
        <v>1000</v>
      </c>
      <c r="D26" s="72">
        <v>200</v>
      </c>
      <c r="F26" s="10"/>
      <c r="G26" s="10"/>
      <c r="H26" s="10"/>
      <c r="I26" s="10"/>
      <c r="J26" s="10"/>
      <c r="K26" s="10"/>
      <c r="L26" s="10"/>
      <c r="M26" s="10"/>
      <c r="N26" s="10"/>
      <c r="O26" s="10"/>
      <c r="P26" s="10"/>
      <c r="Q26" s="2"/>
    </row>
    <row r="27" spans="2:20" x14ac:dyDescent="0.3">
      <c r="B27" s="83" t="s">
        <v>5</v>
      </c>
      <c r="C27" s="72">
        <v>129</v>
      </c>
      <c r="D27" s="72">
        <v>160.69999999999999</v>
      </c>
      <c r="F27" s="10"/>
      <c r="G27" s="10"/>
      <c r="H27" s="10"/>
      <c r="I27" s="10"/>
      <c r="J27" s="10"/>
      <c r="K27" s="10"/>
      <c r="L27" s="10"/>
      <c r="M27" s="10"/>
      <c r="N27" s="10"/>
      <c r="O27" s="10"/>
      <c r="P27" s="10"/>
      <c r="Q27" s="2"/>
    </row>
    <row r="28" spans="2:20" x14ac:dyDescent="0.3">
      <c r="B28" s="83" t="s">
        <v>19</v>
      </c>
      <c r="C28" s="72">
        <v>31.4</v>
      </c>
      <c r="D28" s="72">
        <v>31</v>
      </c>
      <c r="F28" s="10"/>
      <c r="G28" s="10"/>
      <c r="H28" s="10"/>
      <c r="I28" s="10"/>
      <c r="J28" s="10"/>
      <c r="K28" s="10"/>
      <c r="L28" s="10"/>
      <c r="M28" s="10"/>
      <c r="N28" s="10"/>
      <c r="O28" s="10"/>
      <c r="P28" s="10"/>
      <c r="Q28" s="2"/>
    </row>
    <row r="29" spans="2:20" x14ac:dyDescent="0.3">
      <c r="B29" s="83" t="s">
        <v>15</v>
      </c>
      <c r="C29" s="72">
        <v>69</v>
      </c>
      <c r="D29" s="72">
        <v>78</v>
      </c>
      <c r="F29" s="10"/>
      <c r="G29" s="10"/>
      <c r="H29" s="10"/>
      <c r="I29" s="10"/>
      <c r="J29" s="10"/>
      <c r="K29" s="10"/>
      <c r="L29" s="10"/>
      <c r="M29" s="10"/>
      <c r="N29" s="10"/>
      <c r="O29" s="10"/>
      <c r="P29" s="10"/>
      <c r="Q29" s="2"/>
    </row>
    <row r="30" spans="2:20" x14ac:dyDescent="0.3">
      <c r="B30" s="83" t="s">
        <v>79</v>
      </c>
      <c r="C30" s="72">
        <v>17</v>
      </c>
      <c r="D30" s="72">
        <v>100</v>
      </c>
      <c r="F30" s="27"/>
      <c r="G30" s="10"/>
      <c r="H30" s="10"/>
      <c r="I30" s="10"/>
      <c r="J30" s="10"/>
      <c r="K30" s="10"/>
      <c r="L30" s="10"/>
      <c r="M30" s="10"/>
      <c r="N30" s="10"/>
      <c r="O30" s="10"/>
      <c r="P30" s="10"/>
      <c r="Q30" s="10"/>
      <c r="R30" s="10"/>
      <c r="S30" s="10"/>
      <c r="T30" s="2"/>
    </row>
    <row r="31" spans="2:20" x14ac:dyDescent="0.3">
      <c r="B31" s="83" t="s">
        <v>67</v>
      </c>
      <c r="C31" s="72">
        <v>0</v>
      </c>
      <c r="D31" s="72">
        <v>0</v>
      </c>
      <c r="F31" s="27"/>
      <c r="G31" s="10"/>
      <c r="H31" s="10"/>
      <c r="I31" s="10"/>
      <c r="J31" s="10"/>
      <c r="K31" s="10"/>
      <c r="L31" s="10"/>
      <c r="M31" s="10"/>
      <c r="N31" s="10"/>
      <c r="O31" s="10"/>
      <c r="P31" s="10"/>
      <c r="Q31" s="10"/>
      <c r="R31" s="10"/>
      <c r="S31" s="10"/>
      <c r="T31" s="2"/>
    </row>
    <row r="32" spans="2:20" x14ac:dyDescent="0.3">
      <c r="B32" s="74" t="s">
        <v>20</v>
      </c>
      <c r="C32" s="74">
        <v>250</v>
      </c>
      <c r="D32" s="74">
        <v>0</v>
      </c>
      <c r="F32" s="27"/>
      <c r="G32" s="10"/>
      <c r="H32" s="10"/>
      <c r="I32" s="10"/>
      <c r="J32" s="10"/>
      <c r="K32" s="10"/>
      <c r="L32" s="10"/>
      <c r="M32" s="10"/>
      <c r="N32" s="10"/>
      <c r="O32" s="10"/>
      <c r="P32" s="10"/>
      <c r="Q32" s="10"/>
      <c r="R32" s="10"/>
      <c r="S32" s="10"/>
      <c r="T32" s="2"/>
    </row>
    <row r="33" spans="1:20" s="15" customFormat="1" x14ac:dyDescent="0.3">
      <c r="A33" s="12"/>
      <c r="B33" s="74" t="s">
        <v>80</v>
      </c>
      <c r="C33" s="74"/>
      <c r="D33" s="74"/>
      <c r="E33" s="9"/>
      <c r="F33" s="27"/>
      <c r="G33" s="10"/>
      <c r="H33" s="10"/>
      <c r="I33" s="10"/>
      <c r="J33" s="10"/>
      <c r="K33" s="10"/>
      <c r="L33" s="10"/>
      <c r="M33" s="10"/>
      <c r="N33" s="10"/>
      <c r="O33" s="10"/>
      <c r="P33" s="10"/>
      <c r="Q33" s="10"/>
      <c r="R33" s="10"/>
      <c r="S33" s="10"/>
      <c r="T33" s="14"/>
    </row>
    <row r="34" spans="1:20" s="15" customFormat="1" ht="19.5" customHeight="1" x14ac:dyDescent="0.4">
      <c r="A34" s="12"/>
      <c r="B34" s="86" t="s">
        <v>38</v>
      </c>
      <c r="C34" s="29">
        <f>SUM(C25:C33)</f>
        <v>6689.5999999999995</v>
      </c>
      <c r="D34" s="32">
        <f>SUM(D25:D33)</f>
        <v>4892.9999999999991</v>
      </c>
      <c r="E34" s="13"/>
      <c r="F34" s="27"/>
      <c r="G34" s="10"/>
      <c r="H34" s="10"/>
      <c r="I34" s="10"/>
      <c r="J34" s="10"/>
      <c r="K34" s="10"/>
      <c r="L34" s="17"/>
      <c r="M34" s="10"/>
      <c r="N34" s="10"/>
      <c r="O34" s="10"/>
      <c r="P34" s="10"/>
      <c r="Q34" s="10"/>
      <c r="R34" s="10"/>
      <c r="S34" s="10"/>
      <c r="T34" s="14"/>
    </row>
    <row r="35" spans="1:20" s="15" customFormat="1" ht="19.5" customHeight="1" x14ac:dyDescent="0.4">
      <c r="A35" s="12"/>
      <c r="B35" s="87"/>
      <c r="C35" s="43"/>
      <c r="D35" s="44"/>
      <c r="E35" s="16"/>
      <c r="F35" s="27"/>
      <c r="G35" s="10"/>
      <c r="H35" s="10"/>
      <c r="I35" s="10"/>
      <c r="J35" s="10"/>
      <c r="K35" s="10"/>
      <c r="L35" s="17"/>
      <c r="M35" s="10"/>
      <c r="N35" s="10"/>
      <c r="O35" s="10"/>
      <c r="P35" s="10"/>
      <c r="Q35" s="10"/>
      <c r="R35" s="10"/>
      <c r="S35" s="10"/>
      <c r="T35" s="14"/>
    </row>
    <row r="36" spans="1:20" s="15" customFormat="1" ht="19.5" customHeight="1" x14ac:dyDescent="0.4">
      <c r="A36" s="12"/>
      <c r="B36" s="53"/>
      <c r="C36" s="54"/>
      <c r="D36" s="54"/>
      <c r="E36" s="16"/>
      <c r="F36" s="27"/>
      <c r="G36" s="12"/>
      <c r="H36" s="12"/>
      <c r="I36" s="12"/>
      <c r="J36" s="12"/>
      <c r="K36" s="12"/>
      <c r="L36" s="17"/>
      <c r="M36" s="12"/>
      <c r="N36" s="12"/>
      <c r="O36" s="12"/>
      <c r="P36" s="12"/>
      <c r="Q36" s="12"/>
      <c r="R36" s="12"/>
      <c r="S36" s="12"/>
      <c r="T36" s="14"/>
    </row>
    <row r="37" spans="1:20" s="15" customFormat="1" ht="19.5" customHeight="1" x14ac:dyDescent="0.3">
      <c r="A37" s="12"/>
      <c r="B37" s="97" t="s">
        <v>60</v>
      </c>
      <c r="C37" s="97"/>
      <c r="D37" s="97"/>
      <c r="E37" s="16"/>
      <c r="F37" s="27"/>
      <c r="G37" s="10"/>
      <c r="H37" s="10"/>
      <c r="I37" s="10"/>
      <c r="J37" s="10"/>
      <c r="K37" s="10"/>
      <c r="L37" s="17"/>
      <c r="M37" s="10"/>
      <c r="N37" s="10"/>
      <c r="O37" s="10"/>
      <c r="P37" s="10"/>
      <c r="Q37" s="10"/>
      <c r="R37" s="10"/>
      <c r="S37" s="10"/>
      <c r="T37" s="14"/>
    </row>
    <row r="38" spans="1:20" s="15" customFormat="1" ht="19.5" customHeight="1" x14ac:dyDescent="0.3">
      <c r="A38" s="12"/>
      <c r="B38" s="33"/>
      <c r="C38" s="33"/>
      <c r="D38" s="33"/>
      <c r="E38" s="16"/>
      <c r="F38" s="27"/>
      <c r="G38" s="10"/>
      <c r="H38" s="10"/>
      <c r="I38" s="10"/>
      <c r="J38" s="10"/>
      <c r="K38" s="10"/>
      <c r="L38" s="17"/>
      <c r="M38" s="10"/>
      <c r="N38" s="10"/>
      <c r="O38" s="10"/>
      <c r="P38" s="10"/>
      <c r="Q38" s="10"/>
      <c r="R38" s="10"/>
      <c r="S38" s="10"/>
      <c r="T38" s="14"/>
    </row>
    <row r="39" spans="1:20" s="15" customFormat="1" ht="19.5" customHeight="1" x14ac:dyDescent="0.3">
      <c r="A39" s="12"/>
      <c r="B39" s="35" t="s">
        <v>39</v>
      </c>
      <c r="C39" s="75">
        <v>0</v>
      </c>
      <c r="D39" s="36">
        <f>1-C39</f>
        <v>1</v>
      </c>
      <c r="E39" s="16"/>
      <c r="F39" s="27"/>
      <c r="G39" s="10"/>
      <c r="H39" s="10"/>
      <c r="I39" s="10"/>
      <c r="J39" s="10"/>
      <c r="K39" s="10"/>
      <c r="L39" s="17"/>
      <c r="M39" s="10"/>
      <c r="N39" s="10"/>
      <c r="O39" s="10"/>
      <c r="P39" s="10"/>
      <c r="Q39" s="10"/>
      <c r="R39" s="10"/>
      <c r="S39" s="10"/>
      <c r="T39" s="14"/>
    </row>
    <row r="40" spans="1:20" s="15" customFormat="1" ht="19.5" customHeight="1" x14ac:dyDescent="0.3">
      <c r="A40" s="12"/>
      <c r="B40" s="33"/>
      <c r="C40" s="33"/>
      <c r="D40" s="33"/>
      <c r="E40" s="16"/>
      <c r="F40" s="27"/>
      <c r="G40" s="10"/>
      <c r="H40" s="10"/>
      <c r="I40" s="10"/>
      <c r="J40" s="10"/>
      <c r="K40" s="10"/>
      <c r="L40" s="17"/>
      <c r="M40" s="10"/>
      <c r="N40" s="10"/>
      <c r="O40" s="10"/>
      <c r="P40" s="10"/>
      <c r="Q40" s="10"/>
      <c r="R40" s="10"/>
      <c r="S40" s="10"/>
      <c r="T40" s="14"/>
    </row>
    <row r="41" spans="1:20" s="15" customFormat="1" x14ac:dyDescent="0.3">
      <c r="A41" s="12"/>
      <c r="B41" s="98" t="s">
        <v>26</v>
      </c>
      <c r="C41" s="98"/>
      <c r="D41" s="98"/>
      <c r="E41" s="20"/>
      <c r="F41" s="27"/>
      <c r="G41" s="10"/>
      <c r="H41" s="10"/>
      <c r="I41" s="10"/>
      <c r="J41" s="10"/>
      <c r="K41" s="10"/>
      <c r="L41" s="10"/>
      <c r="M41" s="10"/>
      <c r="N41" s="10"/>
      <c r="O41" s="10"/>
      <c r="P41" s="10"/>
      <c r="Q41" s="10"/>
      <c r="R41" s="10"/>
      <c r="S41" s="10"/>
      <c r="T41" s="14"/>
    </row>
    <row r="42" spans="1:20" s="12" customFormat="1" x14ac:dyDescent="0.3">
      <c r="B42" s="55"/>
      <c r="C42" s="55"/>
      <c r="D42" s="55"/>
      <c r="E42" s="20"/>
      <c r="F42" s="27"/>
      <c r="G42" s="10"/>
      <c r="H42" s="10"/>
      <c r="I42" s="10"/>
      <c r="J42" s="10"/>
      <c r="K42" s="10"/>
      <c r="L42" s="10"/>
      <c r="M42" s="10"/>
      <c r="N42" s="10"/>
      <c r="O42" s="10"/>
      <c r="P42" s="10"/>
      <c r="Q42" s="10"/>
      <c r="R42" s="10"/>
      <c r="S42" s="10"/>
    </row>
    <row r="43" spans="1:20" ht="28.5" customHeight="1" x14ac:dyDescent="0.3">
      <c r="B43" s="83" t="s">
        <v>12</v>
      </c>
      <c r="C43" s="8">
        <f>C10-C25</f>
        <v>-193.19999999999982</v>
      </c>
      <c r="D43" s="8">
        <f>D10-D25</f>
        <v>-323.29999999999927</v>
      </c>
      <c r="E43" s="12"/>
      <c r="F43" s="27"/>
      <c r="G43" s="10"/>
      <c r="H43" s="10"/>
      <c r="I43" s="10"/>
      <c r="J43" s="10"/>
      <c r="K43" s="10"/>
      <c r="L43" s="10"/>
      <c r="M43" s="10"/>
      <c r="N43" s="10"/>
      <c r="O43" s="10"/>
      <c r="P43" s="10"/>
      <c r="Q43" s="10"/>
      <c r="R43" s="10"/>
      <c r="S43" s="10"/>
      <c r="T43" s="2"/>
    </row>
    <row r="44" spans="1:20" ht="28.5" customHeight="1" x14ac:dyDescent="0.3">
      <c r="B44" s="83" t="s">
        <v>21</v>
      </c>
      <c r="C44" s="8">
        <f>C10-C34</f>
        <v>-1689.5999999999995</v>
      </c>
      <c r="D44" s="8">
        <f>D10-D34</f>
        <v>-892.99999999999909</v>
      </c>
      <c r="E44" s="12"/>
      <c r="F44" s="10"/>
      <c r="G44" s="10"/>
      <c r="H44" s="10"/>
      <c r="I44" s="10"/>
      <c r="J44" s="10"/>
      <c r="K44" s="10"/>
      <c r="L44" s="10"/>
      <c r="M44" s="10"/>
      <c r="N44" s="10"/>
      <c r="O44" s="10"/>
      <c r="P44" s="10"/>
      <c r="Q44" s="10"/>
      <c r="R44" s="10"/>
      <c r="S44" s="10"/>
      <c r="T44" s="2"/>
    </row>
    <row r="45" spans="1:20" ht="43" customHeight="1" x14ac:dyDescent="0.3">
      <c r="B45" s="83" t="s">
        <v>40</v>
      </c>
      <c r="C45" s="8">
        <f>IF(man=1,C43,IF(man=2,C44,IF(OR($C44&lt;0,$D44&lt;0),C43,C44)))</f>
        <v>-193.19999999999982</v>
      </c>
      <c r="D45" s="8">
        <f>IF(man=1,D43,IF(man=2,D44,IF(OR($C44&lt;0,$D44&lt;0),D43,D44)))</f>
        <v>-323.29999999999927</v>
      </c>
      <c r="E45" s="37" t="s">
        <v>77</v>
      </c>
      <c r="F45" s="76">
        <v>1</v>
      </c>
      <c r="G45" s="7" t="s">
        <v>78</v>
      </c>
      <c r="H45" s="10"/>
      <c r="I45" s="10"/>
      <c r="J45" s="10"/>
      <c r="K45" s="10"/>
      <c r="L45" s="10"/>
      <c r="M45" s="10"/>
      <c r="N45" s="10"/>
      <c r="O45" s="10"/>
      <c r="P45" s="10"/>
      <c r="Q45" s="10"/>
      <c r="R45" s="10"/>
      <c r="S45" s="10"/>
      <c r="T45" s="2"/>
    </row>
    <row r="46" spans="1:20" ht="35.15" customHeight="1" x14ac:dyDescent="0.3">
      <c r="B46" s="83" t="s">
        <v>16</v>
      </c>
      <c r="C46" s="41">
        <f>IF(C45&lt;=0,0,IF($C45*$D45&gt;0,C45*100/($C45+$D45),100))/100</f>
        <v>0</v>
      </c>
      <c r="D46" s="41">
        <f>IF(D45&lt;=0,0,IF($C45*$D45&gt;0,D45*100/($C45+$D45),100))/100</f>
        <v>0</v>
      </c>
      <c r="E46" s="52"/>
      <c r="F46" s="12"/>
      <c r="G46" s="10"/>
      <c r="H46" s="10"/>
      <c r="I46" s="10"/>
      <c r="J46" s="10"/>
      <c r="K46" s="10"/>
      <c r="L46" s="10"/>
      <c r="M46" s="10"/>
      <c r="N46" s="10"/>
      <c r="O46" s="10"/>
      <c r="P46" s="10"/>
      <c r="Q46" s="10"/>
      <c r="R46" s="10"/>
      <c r="S46" s="10"/>
      <c r="T46" s="2"/>
    </row>
    <row r="47" spans="1:20" ht="43" customHeight="1" x14ac:dyDescent="0.3">
      <c r="B47" s="83" t="s">
        <v>51</v>
      </c>
      <c r="C47" s="42">
        <f>IF(nb_enfants=0,0,SUM(C81:F81))</f>
        <v>0</v>
      </c>
      <c r="D47" s="42">
        <f>IF(nb_enfants=0,0,SUM(C82:F82))</f>
        <v>0</v>
      </c>
      <c r="E47" s="12"/>
      <c r="F47" s="10"/>
      <c r="G47" s="10"/>
      <c r="H47" s="10"/>
      <c r="I47" s="10"/>
      <c r="J47" s="10"/>
      <c r="K47" s="10"/>
      <c r="L47" s="10"/>
      <c r="M47" s="10"/>
      <c r="N47" s="10"/>
      <c r="O47" s="10"/>
      <c r="P47" s="10"/>
      <c r="Q47" s="10"/>
      <c r="R47" s="10"/>
      <c r="S47" s="10"/>
      <c r="T47" s="2"/>
    </row>
    <row r="48" spans="1:20" ht="43" customHeight="1" x14ac:dyDescent="0.3">
      <c r="B48" s="83" t="s">
        <v>22</v>
      </c>
      <c r="C48" s="8">
        <f>C45-C47</f>
        <v>-193.19999999999982</v>
      </c>
      <c r="D48" s="8">
        <f>D45-D47</f>
        <v>-323.29999999999927</v>
      </c>
      <c r="E48" s="12" t="s">
        <v>76</v>
      </c>
      <c r="F48" s="10"/>
      <c r="G48" s="10"/>
      <c r="H48" s="10"/>
      <c r="I48" s="10"/>
      <c r="J48" s="10"/>
      <c r="K48" s="10"/>
      <c r="L48" s="10"/>
      <c r="M48" s="10"/>
      <c r="N48" s="10"/>
      <c r="O48" s="10"/>
      <c r="P48" s="10"/>
      <c r="Q48" s="10"/>
      <c r="R48" s="10"/>
      <c r="S48" s="10"/>
      <c r="T48" s="2"/>
    </row>
    <row r="49" spans="2:20" x14ac:dyDescent="0.3">
      <c r="B49" s="27"/>
      <c r="C49" s="10"/>
      <c r="D49" s="10"/>
      <c r="E49" s="10"/>
      <c r="F49" s="10"/>
      <c r="G49" s="10"/>
      <c r="H49" s="10"/>
      <c r="I49" s="10"/>
      <c r="J49" s="10"/>
      <c r="K49" s="10"/>
      <c r="L49" s="10"/>
      <c r="M49" s="10"/>
      <c r="N49" s="10"/>
      <c r="O49" s="10"/>
      <c r="P49" s="10"/>
      <c r="Q49" s="10"/>
      <c r="R49" s="10"/>
      <c r="S49" s="10"/>
      <c r="T49" s="2"/>
    </row>
    <row r="50" spans="2:20" ht="14.5" customHeight="1" x14ac:dyDescent="0.3">
      <c r="B50" s="52"/>
      <c r="C50" s="10"/>
      <c r="D50" s="10"/>
      <c r="E50" s="21"/>
      <c r="F50" s="10"/>
      <c r="G50" s="10"/>
      <c r="H50" s="10"/>
      <c r="I50" s="10"/>
      <c r="J50" s="10"/>
      <c r="K50" s="10"/>
      <c r="L50" s="10"/>
      <c r="M50" s="10"/>
      <c r="N50" s="10"/>
      <c r="O50" s="10"/>
      <c r="P50" s="10"/>
      <c r="Q50" s="10"/>
      <c r="R50" s="10"/>
      <c r="S50" s="10"/>
      <c r="T50" s="2"/>
    </row>
    <row r="51" spans="2:20" x14ac:dyDescent="0.3">
      <c r="B51" s="62"/>
      <c r="C51" s="63" t="s">
        <v>27</v>
      </c>
      <c r="D51" s="64"/>
      <c r="E51" s="64"/>
      <c r="F51" s="64"/>
      <c r="G51" s="10" t="s">
        <v>46</v>
      </c>
      <c r="H51" s="10"/>
      <c r="I51" s="10"/>
      <c r="J51" s="10"/>
      <c r="K51" s="10"/>
      <c r="L51" s="10"/>
      <c r="M51" s="10"/>
      <c r="N51" s="10"/>
      <c r="O51" s="10"/>
      <c r="P51" s="10"/>
      <c r="Q51" s="10"/>
      <c r="R51" s="10"/>
      <c r="S51" s="10"/>
      <c r="T51" s="2"/>
    </row>
    <row r="52" spans="2:20" x14ac:dyDescent="0.3">
      <c r="B52" s="22" t="s">
        <v>28</v>
      </c>
      <c r="C52" s="77"/>
      <c r="D52" s="77"/>
      <c r="E52" s="77"/>
      <c r="F52" s="77"/>
      <c r="G52" s="45">
        <f>COUNTIF(C52:F52,"&lt;&gt;")</f>
        <v>0</v>
      </c>
      <c r="H52" s="10"/>
      <c r="I52" s="10"/>
      <c r="J52" s="10"/>
      <c r="K52" s="10"/>
      <c r="L52" s="10"/>
      <c r="M52" s="10"/>
      <c r="N52" s="10"/>
      <c r="O52" s="10"/>
      <c r="P52" s="10"/>
      <c r="Q52" s="10"/>
      <c r="R52" s="10"/>
      <c r="S52" s="10"/>
      <c r="T52" s="2"/>
    </row>
    <row r="53" spans="2:20" x14ac:dyDescent="0.3">
      <c r="B53" s="30" t="s">
        <v>41</v>
      </c>
      <c r="C53" s="78">
        <v>14</v>
      </c>
      <c r="D53" s="78">
        <v>8</v>
      </c>
      <c r="E53" s="78">
        <v>12</v>
      </c>
      <c r="F53" s="78"/>
      <c r="G53" s="10"/>
      <c r="H53" s="10"/>
      <c r="I53" s="10"/>
      <c r="J53" s="10"/>
      <c r="K53" s="10"/>
      <c r="L53" s="10"/>
      <c r="M53" s="10"/>
      <c r="N53" s="10"/>
      <c r="O53" s="10"/>
      <c r="P53" s="10"/>
      <c r="Q53" s="10"/>
      <c r="R53" s="10"/>
      <c r="S53" s="10"/>
      <c r="T53" s="2"/>
    </row>
    <row r="54" spans="2:20" ht="14.15" customHeight="1" x14ac:dyDescent="0.3">
      <c r="B54" s="95" t="s">
        <v>25</v>
      </c>
      <c r="C54" s="95"/>
      <c r="D54" s="95"/>
      <c r="E54" s="95"/>
      <c r="F54" s="95"/>
      <c r="G54" s="10"/>
      <c r="H54" s="10"/>
      <c r="I54" s="10"/>
      <c r="J54" s="10"/>
      <c r="K54" s="10"/>
      <c r="L54" s="10"/>
      <c r="M54" s="10"/>
      <c r="N54" s="10"/>
      <c r="O54" s="10"/>
      <c r="P54" s="10"/>
      <c r="Q54" s="10"/>
      <c r="R54" s="10"/>
      <c r="S54" s="10"/>
      <c r="T54" s="2"/>
    </row>
    <row r="55" spans="2:20" x14ac:dyDescent="0.3">
      <c r="B55" s="88" t="s">
        <v>7</v>
      </c>
      <c r="C55" s="23">
        <f>IF(nb_enfants&gt;0,IF(C53&lt;10,400,600),0)</f>
        <v>0</v>
      </c>
      <c r="D55" s="23">
        <f>IF(nb_enfants&gt;1,IF(D53&lt;10,400,600),0)</f>
        <v>0</v>
      </c>
      <c r="E55" s="23">
        <f>IF(nb_enfants&gt;2,IF(E53&lt;10,400,600),0)</f>
        <v>0</v>
      </c>
      <c r="F55" s="23">
        <f>IF(nb_enfants&gt;3,IF(F53&lt;10,400,600),0)</f>
        <v>0</v>
      </c>
      <c r="G55" s="10"/>
      <c r="H55" s="10"/>
      <c r="I55" s="10"/>
      <c r="J55" s="10"/>
      <c r="K55" s="10"/>
      <c r="L55" s="10"/>
      <c r="M55" s="10"/>
      <c r="N55" s="10"/>
      <c r="O55" s="10"/>
      <c r="P55" s="10"/>
      <c r="Q55" s="10"/>
      <c r="R55" s="10"/>
      <c r="S55" s="10"/>
      <c r="T55" s="2"/>
    </row>
    <row r="56" spans="2:20" x14ac:dyDescent="0.3">
      <c r="B56" s="88" t="s">
        <v>44</v>
      </c>
      <c r="C56" s="23">
        <f>IF(C39&gt;=30%,IF(nb_enfants=0,0,IF(nb_enfants=1,($C$15*0.15),IF(nb_enfants=2,($C$15*0.15),$C$15*0.1))),0)</f>
        <v>0</v>
      </c>
      <c r="D56" s="23">
        <f>IF(C39&gt;=30%,IF(nb_enfants=0,0,IF(nb_enfants=1,0,IF(nb_enfants=2,($C$15*0.15),$C$15*0.1))),0)</f>
        <v>0</v>
      </c>
      <c r="E56" s="23">
        <f>IF(C39&gt;=30%,IF(nb_enfants=0,0,IF(nb_enfants=1,0,IF(nb_enfants=2,0,$C$15*0.1))),0)</f>
        <v>0</v>
      </c>
      <c r="F56" s="23">
        <f>IF(C39&gt;=30%,IF(nb_enfants&lt;4,0,$C$15*0.1),0)</f>
        <v>0</v>
      </c>
      <c r="G56" s="10"/>
      <c r="H56" s="10"/>
      <c r="I56" s="10"/>
      <c r="J56" s="10"/>
      <c r="K56" s="10"/>
      <c r="L56" s="10"/>
      <c r="M56" s="10"/>
      <c r="N56" s="10"/>
      <c r="O56" s="10"/>
      <c r="P56" s="10"/>
      <c r="Q56" s="10"/>
      <c r="R56" s="10"/>
      <c r="S56" s="10"/>
      <c r="T56" s="2"/>
    </row>
    <row r="57" spans="2:20" ht="30.75" customHeight="1" x14ac:dyDescent="0.3">
      <c r="B57" s="88" t="s">
        <v>45</v>
      </c>
      <c r="C57" s="23">
        <f>IF(D39&gt;=30%,IF(nb_enfants=0,0,IF(nb_enfants=1,(D$15*0.15),IF(nb_enfants=2,(D$15*0.15),D$15*0.1))),0)</f>
        <v>0</v>
      </c>
      <c r="D57" s="23">
        <f>IF(D39&gt;=30%,IF(nb_enfants=0,0,IF(nb_enfants=1,0,IF(nb_enfants=2,(D$15*0.15),D$15*0.1))),0)</f>
        <v>0</v>
      </c>
      <c r="E57" s="23">
        <f>IF(D39&gt;=30%,IF(nb_enfants=0,0,IF(nb_enfants=1,0,IF(nb_enfants=2,0,D$15*0.1))),0)</f>
        <v>0</v>
      </c>
      <c r="F57" s="23">
        <f>IF(D39&gt;=30%,IF(nb_enfants&lt;4,0,D15*0.1),0)</f>
        <v>0</v>
      </c>
      <c r="G57" s="10"/>
      <c r="H57" s="10"/>
      <c r="I57" s="10"/>
      <c r="J57" s="10"/>
      <c r="K57" s="10"/>
      <c r="L57" s="10"/>
      <c r="M57" s="10"/>
      <c r="N57" s="10"/>
      <c r="O57" s="10"/>
      <c r="P57" s="10"/>
      <c r="Q57" s="10"/>
      <c r="R57" s="10"/>
      <c r="S57" s="10"/>
      <c r="T57" s="2"/>
    </row>
    <row r="58" spans="2:20" ht="30.75" customHeight="1" x14ac:dyDescent="0.3">
      <c r="B58" s="88" t="s">
        <v>31</v>
      </c>
      <c r="C58" s="72">
        <v>131.15</v>
      </c>
      <c r="D58" s="72">
        <v>131.15</v>
      </c>
      <c r="E58" s="72">
        <v>71.5</v>
      </c>
      <c r="F58" s="72">
        <v>0</v>
      </c>
      <c r="G58" s="10"/>
      <c r="H58" s="10"/>
      <c r="I58" s="10"/>
      <c r="J58" s="10"/>
      <c r="K58" s="10"/>
      <c r="L58" s="10"/>
      <c r="M58" s="10"/>
      <c r="N58" s="10"/>
      <c r="O58" s="10"/>
      <c r="P58" s="10"/>
      <c r="Q58" s="10"/>
      <c r="R58" s="10"/>
      <c r="S58" s="10"/>
      <c r="T58" s="2"/>
    </row>
    <row r="59" spans="2:20" ht="31.65" customHeight="1" x14ac:dyDescent="0.3">
      <c r="B59" s="88" t="s">
        <v>32</v>
      </c>
      <c r="C59" s="72">
        <v>33.799999999999997</v>
      </c>
      <c r="D59" s="72">
        <v>32.6</v>
      </c>
      <c r="E59" s="72">
        <v>61</v>
      </c>
      <c r="F59" s="72">
        <v>0</v>
      </c>
      <c r="G59" s="10"/>
      <c r="H59" s="10"/>
      <c r="I59" s="10"/>
      <c r="J59" s="10"/>
      <c r="K59" s="10"/>
      <c r="L59" s="10"/>
      <c r="M59" s="10"/>
      <c r="N59" s="10"/>
      <c r="O59" s="10"/>
      <c r="P59" s="10"/>
      <c r="Q59" s="10"/>
      <c r="R59" s="10"/>
      <c r="S59" s="10"/>
      <c r="T59" s="2"/>
    </row>
    <row r="60" spans="2:20" ht="31.65" customHeight="1" x14ac:dyDescent="0.3">
      <c r="B60" s="88" t="s">
        <v>58</v>
      </c>
      <c r="C60" s="72">
        <v>0</v>
      </c>
      <c r="D60" s="72">
        <v>0</v>
      </c>
      <c r="E60" s="72">
        <v>43.8</v>
      </c>
      <c r="F60" s="72"/>
      <c r="G60" s="10"/>
      <c r="H60" s="10"/>
      <c r="I60" s="10"/>
      <c r="J60" s="10"/>
      <c r="K60" s="10"/>
      <c r="L60" s="10"/>
      <c r="M60" s="10"/>
      <c r="N60" s="10"/>
      <c r="O60" s="10"/>
      <c r="P60" s="10"/>
      <c r="Q60" s="10"/>
      <c r="R60" s="10"/>
      <c r="S60" s="10"/>
      <c r="T60" s="2"/>
    </row>
    <row r="61" spans="2:20" x14ac:dyDescent="0.3">
      <c r="B61" s="88" t="s">
        <v>33</v>
      </c>
      <c r="C61" s="72">
        <v>12.5</v>
      </c>
      <c r="D61" s="72">
        <v>0</v>
      </c>
      <c r="E61" s="72">
        <v>0</v>
      </c>
      <c r="F61" s="72">
        <v>0</v>
      </c>
      <c r="G61" s="10"/>
      <c r="H61" s="10"/>
      <c r="I61" s="10"/>
      <c r="J61" s="10"/>
      <c r="K61" s="10"/>
      <c r="L61" s="10"/>
      <c r="M61" s="10"/>
      <c r="N61" s="10"/>
      <c r="O61" s="10"/>
      <c r="P61" s="10"/>
      <c r="Q61" s="10"/>
      <c r="R61" s="10"/>
      <c r="S61" s="10"/>
      <c r="T61" s="2"/>
    </row>
    <row r="62" spans="2:20" x14ac:dyDescent="0.3">
      <c r="B62" s="88" t="s">
        <v>34</v>
      </c>
      <c r="C62" s="72">
        <v>22</v>
      </c>
      <c r="D62" s="72">
        <v>4.1500000000000004</v>
      </c>
      <c r="E62" s="72">
        <v>2.5</v>
      </c>
      <c r="F62" s="72">
        <v>0</v>
      </c>
      <c r="G62" s="12"/>
      <c r="H62" s="12"/>
      <c r="I62" s="12"/>
      <c r="J62" s="12"/>
      <c r="K62" s="12"/>
      <c r="L62" s="12"/>
      <c r="M62" s="12"/>
      <c r="N62" s="12"/>
      <c r="O62" s="12"/>
      <c r="P62" s="12"/>
      <c r="Q62" s="12"/>
      <c r="R62" s="12"/>
      <c r="S62" s="12"/>
      <c r="T62" s="2"/>
    </row>
    <row r="63" spans="2:20" x14ac:dyDescent="0.3">
      <c r="B63" s="88" t="s">
        <v>59</v>
      </c>
      <c r="C63" s="72">
        <v>0</v>
      </c>
      <c r="D63" s="72">
        <v>0</v>
      </c>
      <c r="E63" s="72">
        <v>0</v>
      </c>
      <c r="F63" s="72">
        <v>0</v>
      </c>
      <c r="G63" s="12"/>
      <c r="H63" s="12"/>
      <c r="I63" s="12"/>
      <c r="J63" s="12"/>
      <c r="K63" s="12"/>
      <c r="L63" s="12"/>
      <c r="M63" s="12"/>
      <c r="N63" s="12"/>
      <c r="O63" s="12"/>
      <c r="P63" s="12"/>
      <c r="Q63" s="12"/>
      <c r="R63" s="12"/>
      <c r="S63" s="12"/>
      <c r="T63" s="2"/>
    </row>
    <row r="64" spans="2:20" x14ac:dyDescent="0.3">
      <c r="B64" s="89" t="s">
        <v>47</v>
      </c>
      <c r="C64" s="79">
        <v>66</v>
      </c>
      <c r="D64" s="79">
        <v>0</v>
      </c>
      <c r="E64" s="79"/>
      <c r="F64" s="79"/>
      <c r="G64" s="12"/>
      <c r="H64" s="12"/>
      <c r="I64" s="12"/>
      <c r="J64" s="12"/>
      <c r="K64" s="12"/>
      <c r="L64" s="12"/>
      <c r="M64" s="12"/>
      <c r="N64" s="12"/>
      <c r="O64" s="12"/>
      <c r="P64" s="12"/>
      <c r="Q64" s="12"/>
      <c r="R64" s="12"/>
      <c r="S64" s="12"/>
      <c r="T64" s="2"/>
    </row>
    <row r="65" spans="2:20" ht="15.5" x14ac:dyDescent="0.35">
      <c r="B65" s="90" t="s">
        <v>42</v>
      </c>
      <c r="C65" s="71">
        <f>IF(nb_enfants=0,0,SUM(C55:C64))</f>
        <v>0</v>
      </c>
      <c r="D65" s="71">
        <f>IF(nb_enfants=0,0,SUM(D55:D64))</f>
        <v>0</v>
      </c>
      <c r="E65" s="71">
        <f>IF(nb_enfants=0,0,SUM(E55:E64))</f>
        <v>0</v>
      </c>
      <c r="F65" s="71">
        <f>IF(nb_enfants=0,0,SUM(F55:F64))</f>
        <v>0</v>
      </c>
      <c r="G65" s="12"/>
      <c r="H65" s="12"/>
      <c r="I65" s="12"/>
      <c r="J65" s="12"/>
      <c r="K65" s="12"/>
      <c r="L65" s="12"/>
      <c r="M65" s="12"/>
      <c r="N65" s="12"/>
      <c r="O65" s="12"/>
      <c r="P65" s="12"/>
      <c r="Q65" s="12"/>
      <c r="R65" s="12"/>
      <c r="S65" s="12"/>
      <c r="T65" s="2"/>
    </row>
    <row r="66" spans="2:20" x14ac:dyDescent="0.3">
      <c r="B66" s="89" t="s">
        <v>35</v>
      </c>
      <c r="C66" s="79">
        <v>0</v>
      </c>
      <c r="D66" s="79">
        <v>0</v>
      </c>
      <c r="E66" s="79">
        <v>50</v>
      </c>
      <c r="F66" s="79">
        <v>0</v>
      </c>
      <c r="G66" s="10"/>
      <c r="H66" s="10"/>
      <c r="I66" s="10"/>
      <c r="J66" s="10"/>
      <c r="K66" s="10"/>
      <c r="L66" s="10"/>
      <c r="M66" s="10"/>
      <c r="N66" s="10"/>
      <c r="O66" s="10"/>
      <c r="P66" s="10"/>
      <c r="Q66" s="10"/>
      <c r="R66" s="10"/>
      <c r="S66" s="10"/>
      <c r="T66" s="2"/>
    </row>
    <row r="67" spans="2:20" x14ac:dyDescent="0.3">
      <c r="B67" s="89" t="s">
        <v>23</v>
      </c>
      <c r="C67" s="79">
        <v>200</v>
      </c>
      <c r="D67" s="79">
        <v>150</v>
      </c>
      <c r="E67" s="79">
        <v>50</v>
      </c>
      <c r="F67" s="79"/>
      <c r="G67" s="10"/>
      <c r="H67" s="10"/>
      <c r="I67" s="10"/>
      <c r="J67" s="10"/>
      <c r="K67" s="10"/>
      <c r="L67" s="10"/>
      <c r="M67" s="10"/>
      <c r="N67" s="10"/>
      <c r="O67" s="10"/>
      <c r="P67" s="10"/>
      <c r="Q67" s="10"/>
      <c r="R67" s="10"/>
      <c r="S67" s="10"/>
      <c r="T67" s="2"/>
    </row>
    <row r="68" spans="2:20" x14ac:dyDescent="0.3">
      <c r="B68" s="89" t="s">
        <v>36</v>
      </c>
      <c r="C68" s="79"/>
      <c r="D68" s="79">
        <v>0</v>
      </c>
      <c r="E68" s="79"/>
      <c r="F68" s="79"/>
      <c r="G68" s="10"/>
      <c r="H68" s="10"/>
      <c r="I68" s="10"/>
      <c r="J68" s="10"/>
      <c r="K68" s="10"/>
      <c r="L68" s="10"/>
      <c r="M68" s="10"/>
      <c r="N68" s="10"/>
      <c r="O68" s="10"/>
      <c r="P68" s="10"/>
      <c r="Q68" s="10"/>
      <c r="R68" s="10"/>
      <c r="S68" s="10"/>
      <c r="T68" s="2"/>
    </row>
    <row r="69" spans="2:20" x14ac:dyDescent="0.3">
      <c r="B69" s="89" t="s">
        <v>64</v>
      </c>
      <c r="C69" s="79">
        <v>0</v>
      </c>
      <c r="D69" s="79">
        <v>0</v>
      </c>
      <c r="E69" s="79">
        <v>41.95</v>
      </c>
      <c r="F69" s="79"/>
      <c r="G69" s="10"/>
      <c r="H69" s="10"/>
      <c r="I69" s="10"/>
      <c r="J69" s="10"/>
      <c r="K69" s="10"/>
      <c r="L69" s="10"/>
      <c r="M69" s="10"/>
      <c r="N69" s="10"/>
      <c r="O69" s="10"/>
      <c r="P69" s="10"/>
      <c r="Q69" s="10"/>
      <c r="R69" s="10"/>
      <c r="S69" s="10"/>
      <c r="T69" s="2"/>
    </row>
    <row r="70" spans="2:20" x14ac:dyDescent="0.3">
      <c r="B70" s="88" t="s">
        <v>37</v>
      </c>
      <c r="C70" s="79">
        <v>0</v>
      </c>
      <c r="D70" s="79">
        <v>0</v>
      </c>
      <c r="E70" s="79"/>
      <c r="F70" s="79"/>
      <c r="G70" s="10"/>
      <c r="H70" s="10"/>
      <c r="I70" s="10"/>
      <c r="J70" s="10"/>
      <c r="K70" s="10"/>
      <c r="L70" s="10"/>
      <c r="M70" s="10"/>
      <c r="N70" s="10"/>
      <c r="O70" s="10"/>
      <c r="P70" s="10"/>
      <c r="Q70" s="10"/>
      <c r="R70" s="10"/>
      <c r="S70" s="10"/>
      <c r="T70" s="2"/>
    </row>
    <row r="71" spans="2:20" x14ac:dyDescent="0.3">
      <c r="B71" s="88" t="s">
        <v>49</v>
      </c>
      <c r="C71" s="72">
        <v>0</v>
      </c>
      <c r="D71" s="72">
        <v>0</v>
      </c>
      <c r="E71" s="72">
        <v>0</v>
      </c>
      <c r="F71" s="72">
        <v>0</v>
      </c>
      <c r="G71" s="10"/>
      <c r="H71" s="10"/>
      <c r="I71" s="10"/>
      <c r="J71" s="10"/>
      <c r="K71" s="10"/>
      <c r="L71" s="10"/>
      <c r="M71" s="10"/>
      <c r="N71" s="10"/>
      <c r="O71" s="10"/>
      <c r="P71" s="10"/>
      <c r="Q71" s="10"/>
      <c r="R71" s="10"/>
      <c r="S71" s="10"/>
      <c r="T71" s="2"/>
    </row>
    <row r="72" spans="2:20" ht="15.5" x14ac:dyDescent="0.35">
      <c r="B72" s="91" t="s">
        <v>48</v>
      </c>
      <c r="C72" s="65">
        <f>IF(nb_enfants&gt;=1,SUM(C65:C71),0)</f>
        <v>0</v>
      </c>
      <c r="D72" s="65">
        <f>IF(nb_enfants&gt;=2,SUM(D65:D71),0)</f>
        <v>0</v>
      </c>
      <c r="E72" s="65">
        <f>IF(nb_enfants&gt;=3,SUM(E65:E71),0)</f>
        <v>0</v>
      </c>
      <c r="F72" s="65">
        <f>IF(nb_enfants&gt;=4,SUM(F65:F71),0)</f>
        <v>0</v>
      </c>
      <c r="G72" s="68"/>
      <c r="H72" s="10"/>
      <c r="I72" s="10"/>
      <c r="J72" s="10"/>
      <c r="K72" s="10"/>
      <c r="L72" s="10"/>
      <c r="M72" s="10"/>
      <c r="N72" s="10"/>
      <c r="O72" s="10"/>
      <c r="P72" s="10"/>
      <c r="Q72" s="10"/>
      <c r="R72" s="10"/>
      <c r="S72" s="10"/>
      <c r="T72" s="2"/>
    </row>
    <row r="73" spans="2:20" x14ac:dyDescent="0.3">
      <c r="B73" s="92" t="s">
        <v>29</v>
      </c>
      <c r="C73" s="80">
        <v>275</v>
      </c>
      <c r="D73" s="80">
        <v>220</v>
      </c>
      <c r="E73" s="81">
        <v>220</v>
      </c>
      <c r="F73" s="80"/>
      <c r="G73" s="10"/>
      <c r="H73" s="10"/>
      <c r="I73" s="10"/>
      <c r="J73" s="10"/>
      <c r="K73" s="10"/>
      <c r="L73" s="10"/>
      <c r="M73" s="10"/>
      <c r="N73" s="10"/>
      <c r="O73" s="10"/>
      <c r="P73" s="10"/>
      <c r="Q73" s="10"/>
      <c r="R73" s="10"/>
      <c r="S73" s="10"/>
      <c r="T73" s="2"/>
    </row>
    <row r="74" spans="2:20" x14ac:dyDescent="0.3">
      <c r="B74" s="92" t="s">
        <v>30</v>
      </c>
      <c r="C74" s="80">
        <v>0</v>
      </c>
      <c r="D74" s="80">
        <v>130</v>
      </c>
      <c r="E74" s="81">
        <v>130</v>
      </c>
      <c r="F74" s="80"/>
      <c r="G74" s="10"/>
      <c r="H74" s="10"/>
      <c r="I74" s="10"/>
      <c r="J74" s="10"/>
      <c r="K74" s="10"/>
      <c r="L74" s="10"/>
      <c r="M74" s="10"/>
      <c r="N74" s="10"/>
      <c r="O74" s="10"/>
      <c r="P74" s="10"/>
      <c r="Q74" s="10"/>
      <c r="R74" s="10"/>
      <c r="S74" s="10"/>
      <c r="T74" s="2"/>
    </row>
    <row r="75" spans="2:20" x14ac:dyDescent="0.3">
      <c r="B75" s="93" t="s">
        <v>50</v>
      </c>
      <c r="C75" s="40">
        <f>IF(nb_enfants=0,0,C72-C73-C74)</f>
        <v>0</v>
      </c>
      <c r="D75" s="40">
        <f>IF(nb_enfants=0,0,D72-D73-D74)</f>
        <v>0</v>
      </c>
      <c r="E75" s="40">
        <f>IF(nb_enfants=0,0,E72-E73-E74)</f>
        <v>0</v>
      </c>
      <c r="F75" s="40">
        <f>IF(nb_enfants=0,0,F72-F73-F74)</f>
        <v>0</v>
      </c>
      <c r="G75" s="10"/>
      <c r="H75" s="10"/>
      <c r="I75" s="10"/>
      <c r="J75" s="10"/>
      <c r="K75" s="10"/>
      <c r="L75" s="10"/>
      <c r="M75" s="10"/>
      <c r="N75" s="10"/>
      <c r="O75" s="10"/>
      <c r="P75" s="10"/>
      <c r="Q75" s="10"/>
      <c r="R75" s="10"/>
      <c r="S75" s="10"/>
      <c r="T75" s="2"/>
    </row>
    <row r="76" spans="2:20" x14ac:dyDescent="0.3">
      <c r="B76" s="93" t="s">
        <v>74</v>
      </c>
      <c r="C76" s="40">
        <f>IF(nb_enfants=0,0,MAX(IF(SUM($C75:$E75)&gt;$C45,IF(C52&lt;&gt;"",$C45/nb_enfants,0),C75),0))</f>
        <v>0</v>
      </c>
      <c r="D76" s="40">
        <f>IF(nb_enfants=0,0,MAX(IF(SUM($C75:$E75)&gt;$C45,IF(D52&lt;&gt;"",$C45/nb_enfants,0),D75),0))</f>
        <v>0</v>
      </c>
      <c r="E76" s="40">
        <f>IF(nb_enfants=0,0,MAX(IF(SUM($C75:$E75)&gt;$C45,IF(E52&lt;&gt;"",$C45/nb_enfants,0),E75),0))</f>
        <v>0</v>
      </c>
      <c r="F76" s="40">
        <f>IF(nb_enfants=0,0,MAX(IF(SUM($C75:$E75)&gt;$C45,IF(F52&lt;&gt;"",$C45/nb_enfants,0),F75),0))</f>
        <v>0</v>
      </c>
      <c r="G76" s="10"/>
      <c r="H76" s="10"/>
      <c r="I76" s="10"/>
      <c r="J76" s="10"/>
      <c r="K76" s="10"/>
      <c r="L76" s="10"/>
      <c r="M76" s="10"/>
      <c r="N76" s="10"/>
      <c r="O76" s="10"/>
      <c r="P76" s="10"/>
      <c r="Q76" s="10"/>
      <c r="R76" s="10"/>
      <c r="S76" s="10"/>
      <c r="T76" s="2"/>
    </row>
    <row r="77" spans="2:20" x14ac:dyDescent="0.3">
      <c r="B77" s="93" t="s">
        <v>75</v>
      </c>
      <c r="C77" s="40">
        <f>IF(nb_enfants=0,0,MAX(IF(SUM($C75:$E75)&gt;$D45,IF(C52&lt;&gt;"",$D45/nb_enfants,0),C75),0))</f>
        <v>0</v>
      </c>
      <c r="D77" s="40">
        <f>IF(nb_enfants=0,0,MAX(IF(SUM($C75:$E75)&gt;$D45,IF(D52&lt;&gt;"",$D45/nb_enfants,0),D75),0))</f>
        <v>0</v>
      </c>
      <c r="E77" s="40">
        <f>IF(nb_enfants=0,0,MAX(IF(SUM($C75:$E75)&gt;$D45,IF(E52&lt;&gt;"",$D45/nb_enfants,0),E75),0))</f>
        <v>0</v>
      </c>
      <c r="F77" s="40">
        <f>IF(nb_enfants=0,0,MAX(IF(SUM($C75:$E75)&gt;$D45,IF(F52&lt;&gt;"",$D45/nb_enfants,0),F75),0))</f>
        <v>0</v>
      </c>
      <c r="G77" s="10"/>
      <c r="H77" s="10"/>
      <c r="I77" s="10"/>
      <c r="J77" s="10"/>
      <c r="K77" s="10"/>
      <c r="L77" s="10"/>
      <c r="M77" s="10"/>
      <c r="N77" s="10"/>
      <c r="O77" s="10"/>
      <c r="P77" s="10"/>
      <c r="Q77" s="10"/>
      <c r="R77" s="10"/>
      <c r="S77" s="10"/>
      <c r="T77" s="2"/>
    </row>
    <row r="78" spans="2:20" ht="28" x14ac:dyDescent="0.3">
      <c r="B78" s="93" t="s">
        <v>72</v>
      </c>
      <c r="C78" s="40">
        <f>IF(nb_enfants=0,0,IF(P_2&gt;50%,IF(AND(D48&lt;0,C48&gt;0),MIN(-D48,C48),0),0))</f>
        <v>0</v>
      </c>
      <c r="D78" s="40"/>
      <c r="E78" s="40"/>
      <c r="F78" s="40"/>
      <c r="G78" s="10"/>
      <c r="H78" s="10"/>
      <c r="I78" s="10"/>
      <c r="J78" s="10"/>
      <c r="K78" s="10"/>
      <c r="L78" s="10"/>
      <c r="M78" s="10"/>
      <c r="N78" s="10"/>
      <c r="O78" s="10"/>
      <c r="P78" s="10"/>
      <c r="Q78" s="10"/>
      <c r="R78" s="10"/>
      <c r="S78" s="10"/>
      <c r="T78" s="2"/>
    </row>
    <row r="79" spans="2:20" ht="28" x14ac:dyDescent="0.3">
      <c r="B79" s="93" t="s">
        <v>73</v>
      </c>
      <c r="C79" s="40">
        <f>IF(nb_enfants=0,0,IF(P_1&gt;50%,IF(AND(C48&lt;0,D48&gt;0),MIN(-C48,D48),0),0))</f>
        <v>0</v>
      </c>
      <c r="D79" s="40"/>
      <c r="E79" s="40"/>
      <c r="F79" s="40"/>
      <c r="G79" s="10"/>
      <c r="H79" s="10"/>
      <c r="I79" s="10"/>
      <c r="J79" s="10"/>
      <c r="K79" s="10"/>
      <c r="L79" s="10"/>
      <c r="M79" s="10"/>
      <c r="N79" s="10"/>
      <c r="O79" s="10"/>
      <c r="P79" s="10"/>
      <c r="Q79" s="10"/>
      <c r="R79" s="10"/>
      <c r="S79" s="10"/>
      <c r="T79" s="2"/>
    </row>
    <row r="80" spans="2:20" x14ac:dyDescent="0.3">
      <c r="B80" s="93"/>
      <c r="C80" s="40"/>
      <c r="D80" s="40"/>
      <c r="E80" s="40"/>
      <c r="F80" s="40"/>
      <c r="G80" s="10"/>
      <c r="H80" s="10"/>
      <c r="I80" s="10"/>
      <c r="J80" s="10"/>
      <c r="K80" s="10"/>
      <c r="L80" s="10"/>
      <c r="M80" s="10"/>
      <c r="N80" s="10"/>
      <c r="O80" s="10"/>
      <c r="P80" s="10"/>
      <c r="Q80" s="10"/>
      <c r="R80" s="10"/>
      <c r="S80" s="10"/>
      <c r="T80" s="2"/>
    </row>
    <row r="81" spans="1:20" x14ac:dyDescent="0.3">
      <c r="B81" s="94" t="s">
        <v>53</v>
      </c>
      <c r="C81" s="42">
        <f>IF(nb_enfants=0,0,MIN(IF(OR(P_2=0,CC_1=0),0,C$75*(CC_1*P_2)/(CC_2*P_1+CC_1*P_2)),C$76))</f>
        <v>0</v>
      </c>
      <c r="D81" s="42">
        <f>IF(nb_enfants=0,0,MIN(IF(OR(P_2=0,CC_1=0),0,D$75*(CC_1*P_2)/(CC_2*P_1+CC_1*P_2)),D$76))</f>
        <v>0</v>
      </c>
      <c r="E81" s="42">
        <f>IF(nb_enfants=0,0,MIN(IF(OR(P_2=0,CC_1=0),0,E$75*(CC_1*P_2)/(CC_2*P_1+CC_1*P_2)),E$76))</f>
        <v>0</v>
      </c>
      <c r="F81" s="42">
        <f>IF(nb_enfants=0,0,MIN(IF(OR(P_2=0,CC_1=0),0,F$75*(CC_1*P_2)/(CC_2*P_1+CC_1*P_2)),F$76))</f>
        <v>0</v>
      </c>
      <c r="G81" s="10"/>
      <c r="H81" s="10"/>
      <c r="I81" s="10"/>
      <c r="J81" s="10"/>
      <c r="K81" s="10"/>
      <c r="L81" s="10"/>
      <c r="M81" s="10"/>
      <c r="N81" s="10"/>
      <c r="O81" s="10"/>
      <c r="P81" s="10"/>
      <c r="Q81" s="10"/>
      <c r="R81" s="10"/>
      <c r="S81" s="10"/>
      <c r="T81" s="2"/>
    </row>
    <row r="82" spans="1:20" x14ac:dyDescent="0.3">
      <c r="B82" s="94" t="s">
        <v>52</v>
      </c>
      <c r="C82" s="42">
        <f>IF(nb_enfants=0,0,MIN(IF(OR(P_1=0,CC_2=0),0,C$75*(CC_2*P_1)/(CC_2*P_1+CC_1*P_2)),C$77))</f>
        <v>0</v>
      </c>
      <c r="D82" s="42">
        <f>IF(nb_enfants=0,0,MIN(IF(OR(P_1=0,CC_2=0),0,D$75*(CC_2*P_1)/(CC_2*P_1+CC_1*P_2)),D$77))</f>
        <v>0</v>
      </c>
      <c r="E82" s="42">
        <f>IF(nb_enfants=0,0,MIN(IF(OR(P_1=0,CC_2=0),0,E$75*(CC_2*P_1)/(CC_2*P_1+CC_1*P_2)),E$77))</f>
        <v>0</v>
      </c>
      <c r="F82" s="42">
        <f>IF(nb_enfants=0,0,MIN(IF(OR(P_1=0,CC_2=0),0,F$75*(CC_2*P_1)/(CC_2*P_1+CC_1*P_2)),F$77))</f>
        <v>0</v>
      </c>
      <c r="G82" s="10"/>
      <c r="H82" s="10"/>
      <c r="I82" s="10"/>
      <c r="J82" s="10"/>
      <c r="K82" s="10"/>
      <c r="L82" s="10"/>
      <c r="M82" s="10"/>
      <c r="N82" s="10"/>
      <c r="O82" s="10"/>
      <c r="P82" s="10"/>
      <c r="Q82" s="10"/>
      <c r="R82" s="10"/>
      <c r="S82" s="10"/>
      <c r="T82" s="2"/>
    </row>
    <row r="83" spans="1:20" ht="26.9" customHeight="1" x14ac:dyDescent="0.3">
      <c r="B83" s="94" t="s">
        <v>56</v>
      </c>
      <c r="C83" s="42">
        <f>IF(nb_enfants&gt;0,MAX((C$45-SUM(C76:F76)-C78)/(nb_enfants+4),0),0)</f>
        <v>0</v>
      </c>
      <c r="D83" s="42">
        <f>IF(nb_enfants&gt;1,MAX(($C$45-SUM($C76:F$76)-C78)/(nb_enfants+4),0),0)</f>
        <v>0</v>
      </c>
      <c r="E83" s="42">
        <f>IF(nb_enfants&gt;2,MAX(($C$45-SUM($C$76:F$76)-C78)/(nb_enfants+4),0),0)</f>
        <v>0</v>
      </c>
      <c r="F83" s="42">
        <f>IF(nb_enfants&gt;3,MAX(($C$45-SUM($C$76:$F$76)-C78)/(nb_enfants+4),0),0)</f>
        <v>0</v>
      </c>
      <c r="G83" s="10" t="s">
        <v>81</v>
      </c>
      <c r="H83" s="10"/>
      <c r="I83" s="10"/>
      <c r="J83" s="10"/>
      <c r="K83" s="10"/>
      <c r="L83" s="10"/>
      <c r="M83" s="10"/>
      <c r="N83" s="10"/>
      <c r="O83" s="10"/>
      <c r="P83" s="10"/>
      <c r="Q83" s="10"/>
      <c r="R83" s="10"/>
      <c r="S83" s="10"/>
      <c r="T83" s="2"/>
    </row>
    <row r="84" spans="1:20" x14ac:dyDescent="0.3">
      <c r="B84" s="94" t="s">
        <v>57</v>
      </c>
      <c r="C84" s="42">
        <f>IF(nb_enfants&gt;0,MAX(($D$45-SUM(C77:F77)-C79)/(nb_enfants+4),0),0)</f>
        <v>0</v>
      </c>
      <c r="D84" s="42">
        <f>IF(nb_enfants&gt;1,MAX(($D$45-SUM(C77:F77)-C79)/(nb_enfants+4),0),0)</f>
        <v>0</v>
      </c>
      <c r="E84" s="42">
        <f>IF(nb_enfants&gt;2,MAX(($D$45-SUM(C77:F77)-C79)/(nb_enfants+4),0),0)</f>
        <v>0</v>
      </c>
      <c r="F84" s="42">
        <f>IF(nb_enfants&gt;3,MAX(($D$45-SUM(C77:F77)-C79)/(nb_enfants+4),0),0)</f>
        <v>0</v>
      </c>
      <c r="G84" s="10"/>
      <c r="H84" s="10"/>
      <c r="I84" s="10"/>
      <c r="J84" s="10"/>
      <c r="K84" s="10"/>
      <c r="L84" s="10"/>
      <c r="M84" s="10"/>
      <c r="N84" s="10"/>
      <c r="O84" s="10"/>
      <c r="P84" s="10"/>
      <c r="Q84" s="10"/>
      <c r="R84" s="10"/>
      <c r="S84" s="10"/>
      <c r="T84" s="2"/>
    </row>
    <row r="85" spans="1:20" x14ac:dyDescent="0.3">
      <c r="B85" s="94"/>
      <c r="C85" s="38"/>
      <c r="D85" s="38"/>
      <c r="E85" s="38"/>
      <c r="F85" s="38"/>
      <c r="G85" s="10"/>
      <c r="H85" s="10"/>
      <c r="I85" s="10"/>
      <c r="J85" s="10"/>
      <c r="K85" s="10"/>
      <c r="L85" s="10"/>
      <c r="M85" s="10"/>
      <c r="N85" s="10"/>
      <c r="O85" s="10"/>
      <c r="P85" s="10"/>
      <c r="Q85" s="10"/>
      <c r="R85" s="10"/>
      <c r="S85" s="10"/>
      <c r="T85" s="2"/>
    </row>
    <row r="86" spans="1:20" s="39" customFormat="1" x14ac:dyDescent="0.3">
      <c r="A86" s="16"/>
      <c r="B86" s="93" t="s">
        <v>61</v>
      </c>
      <c r="C86" s="46">
        <f>SUM(C81+C83)</f>
        <v>0</v>
      </c>
      <c r="D86" s="46">
        <f t="shared" ref="D86:F86" si="0">SUM(D81+D83)</f>
        <v>0</v>
      </c>
      <c r="E86" s="46">
        <f t="shared" si="0"/>
        <v>0</v>
      </c>
      <c r="F86" s="46">
        <f t="shared" si="0"/>
        <v>0</v>
      </c>
      <c r="G86" s="20"/>
      <c r="H86" s="20"/>
      <c r="I86" s="20"/>
      <c r="J86" s="20"/>
      <c r="K86" s="20"/>
      <c r="L86" s="20"/>
      <c r="M86" s="20"/>
      <c r="N86" s="20"/>
      <c r="O86" s="20"/>
      <c r="P86" s="20"/>
      <c r="Q86" s="20"/>
      <c r="R86" s="20"/>
      <c r="S86" s="20"/>
      <c r="T86" s="47"/>
    </row>
    <row r="87" spans="1:20" s="39" customFormat="1" x14ac:dyDescent="0.3">
      <c r="A87" s="16"/>
      <c r="B87" s="93" t="s">
        <v>62</v>
      </c>
      <c r="C87" s="46">
        <f>SUM(C82+C84)</f>
        <v>0</v>
      </c>
      <c r="D87" s="46">
        <f t="shared" ref="D87:F87" si="1">SUM(D82+D84)</f>
        <v>0</v>
      </c>
      <c r="E87" s="46">
        <f t="shared" si="1"/>
        <v>0</v>
      </c>
      <c r="F87" s="46">
        <f t="shared" si="1"/>
        <v>0</v>
      </c>
      <c r="G87" s="20"/>
      <c r="H87" s="20"/>
      <c r="I87" s="20"/>
      <c r="J87" s="16"/>
      <c r="K87" s="48"/>
      <c r="L87" s="49"/>
      <c r="M87" s="49"/>
      <c r="N87" s="49"/>
      <c r="O87" s="49"/>
      <c r="P87" s="49"/>
      <c r="Q87" s="49"/>
      <c r="R87" s="49"/>
      <c r="S87" s="49"/>
    </row>
    <row r="88" spans="1:20" x14ac:dyDescent="0.3">
      <c r="B88" s="51"/>
      <c r="C88" s="10"/>
      <c r="D88" s="10"/>
      <c r="E88" s="10"/>
      <c r="F88" s="10"/>
      <c r="G88" s="10"/>
      <c r="H88" s="10"/>
      <c r="I88" s="10"/>
      <c r="J88" s="12"/>
      <c r="K88" s="2"/>
    </row>
    <row r="89" spans="1:20" x14ac:dyDescent="0.3">
      <c r="B89" s="51"/>
      <c r="C89" s="10"/>
      <c r="D89" s="10"/>
      <c r="E89" s="10"/>
      <c r="F89" s="10"/>
      <c r="G89" s="10"/>
      <c r="H89" s="10"/>
      <c r="I89" s="10"/>
      <c r="J89" s="12"/>
      <c r="K89" s="2"/>
    </row>
    <row r="90" spans="1:20" x14ac:dyDescent="0.3">
      <c r="B90" s="51"/>
      <c r="C90" s="10"/>
      <c r="D90" s="10"/>
      <c r="E90" s="10"/>
      <c r="F90" s="10"/>
      <c r="G90" s="10"/>
      <c r="H90" s="10"/>
      <c r="I90" s="10"/>
      <c r="J90" s="12"/>
      <c r="K90" s="2"/>
    </row>
    <row r="91" spans="1:20" x14ac:dyDescent="0.3">
      <c r="B91" s="51"/>
      <c r="C91" s="10"/>
      <c r="D91" s="10"/>
      <c r="E91" s="10"/>
      <c r="F91" s="10"/>
      <c r="G91" s="10"/>
      <c r="H91" s="10"/>
      <c r="I91" s="10"/>
      <c r="J91" s="12"/>
      <c r="K91" s="2"/>
    </row>
    <row r="92" spans="1:20" x14ac:dyDescent="0.3">
      <c r="B92" s="51"/>
      <c r="C92" s="68"/>
      <c r="D92" s="10"/>
      <c r="E92" s="10"/>
      <c r="F92" s="10"/>
      <c r="G92" s="10"/>
      <c r="H92" s="10"/>
      <c r="I92" s="10"/>
      <c r="J92" s="12"/>
      <c r="K92" s="2"/>
    </row>
    <row r="93" spans="1:20" x14ac:dyDescent="0.3">
      <c r="B93" s="51"/>
      <c r="C93" s="10"/>
      <c r="D93" s="10"/>
      <c r="E93" s="10"/>
      <c r="F93" s="10"/>
      <c r="G93" s="10"/>
      <c r="H93" s="10"/>
      <c r="I93" s="10"/>
      <c r="J93" s="12"/>
      <c r="K93" s="2"/>
    </row>
    <row r="94" spans="1:20" x14ac:dyDescent="0.3">
      <c r="B94" s="51"/>
      <c r="C94" s="10"/>
      <c r="D94" s="10"/>
      <c r="E94" s="10"/>
      <c r="F94" s="10"/>
      <c r="G94" s="10"/>
      <c r="H94" s="10"/>
      <c r="I94" s="10"/>
      <c r="J94" s="10"/>
      <c r="K94" s="2"/>
    </row>
    <row r="95" spans="1:20" x14ac:dyDescent="0.3">
      <c r="B95" s="51"/>
      <c r="C95" s="10"/>
      <c r="D95" s="10"/>
      <c r="E95" s="10"/>
      <c r="F95" s="10"/>
      <c r="G95" s="10"/>
      <c r="H95" s="10"/>
      <c r="I95" s="10"/>
      <c r="J95" s="10"/>
      <c r="K95" s="2"/>
    </row>
    <row r="96" spans="1:20" x14ac:dyDescent="0.3">
      <c r="B96" s="51"/>
      <c r="C96" s="10"/>
      <c r="D96" s="10"/>
      <c r="E96" s="10"/>
      <c r="F96" s="10"/>
      <c r="G96" s="10"/>
      <c r="H96" s="10"/>
      <c r="I96" s="10"/>
      <c r="J96" s="10"/>
      <c r="K96" s="2"/>
    </row>
    <row r="97" spans="2:11" x14ac:dyDescent="0.3">
      <c r="B97" s="51"/>
      <c r="C97" s="10"/>
      <c r="D97" s="10"/>
      <c r="E97" s="10"/>
      <c r="F97" s="10"/>
      <c r="G97" s="10"/>
      <c r="H97" s="10"/>
      <c r="I97" s="10"/>
      <c r="J97" s="10"/>
      <c r="K97" s="2"/>
    </row>
    <row r="98" spans="2:11" x14ac:dyDescent="0.3">
      <c r="B98" s="51"/>
      <c r="C98" s="10"/>
      <c r="D98" s="10"/>
      <c r="E98" s="10"/>
      <c r="F98" s="10"/>
      <c r="G98" s="10"/>
      <c r="H98" s="10"/>
      <c r="I98" s="10"/>
      <c r="J98" s="10"/>
      <c r="K98" s="2"/>
    </row>
    <row r="99" spans="2:11" x14ac:dyDescent="0.3">
      <c r="B99" s="51"/>
      <c r="C99" s="10"/>
      <c r="D99" s="10"/>
      <c r="E99" s="10"/>
      <c r="F99" s="10"/>
      <c r="G99" s="10"/>
      <c r="H99" s="10"/>
      <c r="I99" s="10"/>
      <c r="J99" s="10"/>
      <c r="K99" s="2"/>
    </row>
    <row r="100" spans="2:11" x14ac:dyDescent="0.3">
      <c r="B100" s="51"/>
      <c r="C100" s="10"/>
      <c r="D100" s="10"/>
      <c r="E100" s="10"/>
      <c r="F100" s="10"/>
      <c r="G100" s="10"/>
      <c r="H100" s="10"/>
      <c r="I100" s="10"/>
      <c r="J100" s="10"/>
      <c r="K100" s="2"/>
    </row>
    <row r="101" spans="2:11" x14ac:dyDescent="0.3">
      <c r="B101" s="51"/>
      <c r="C101" s="10"/>
      <c r="D101" s="10"/>
      <c r="E101" s="10"/>
      <c r="F101" s="10"/>
      <c r="G101" s="10"/>
      <c r="H101" s="10"/>
      <c r="I101" s="10"/>
      <c r="J101" s="10"/>
      <c r="K101" s="2"/>
    </row>
    <row r="102" spans="2:11" x14ac:dyDescent="0.3">
      <c r="B102" s="51"/>
      <c r="C102" s="10"/>
      <c r="D102" s="10"/>
      <c r="E102" s="10"/>
      <c r="F102" s="10"/>
      <c r="G102" s="10"/>
      <c r="H102" s="10"/>
      <c r="I102" s="10"/>
      <c r="J102" s="10"/>
      <c r="K102" s="2"/>
    </row>
    <row r="103" spans="2:11" x14ac:dyDescent="0.3">
      <c r="B103" s="51"/>
      <c r="C103" s="10"/>
      <c r="D103" s="10"/>
      <c r="E103" s="10"/>
      <c r="F103" s="10"/>
      <c r="G103" s="10"/>
      <c r="H103" s="10"/>
      <c r="I103" s="10"/>
      <c r="J103" s="10"/>
      <c r="K103" s="2"/>
    </row>
    <row r="104" spans="2:11" x14ac:dyDescent="0.3">
      <c r="B104" s="51"/>
      <c r="C104" s="10"/>
      <c r="D104" s="10"/>
      <c r="E104" s="10"/>
      <c r="F104" s="10"/>
      <c r="G104" s="10"/>
      <c r="H104" s="10"/>
      <c r="I104" s="10"/>
      <c r="J104" s="10"/>
      <c r="K104" s="2"/>
    </row>
    <row r="105" spans="2:11" x14ac:dyDescent="0.3">
      <c r="B105" s="51"/>
      <c r="C105" s="10"/>
      <c r="D105" s="10"/>
      <c r="E105" s="10"/>
      <c r="F105" s="10"/>
      <c r="G105" s="10"/>
      <c r="H105" s="10"/>
      <c r="I105" s="10"/>
      <c r="J105" s="10"/>
      <c r="K105" s="2"/>
    </row>
    <row r="106" spans="2:11" x14ac:dyDescent="0.3">
      <c r="B106" s="51"/>
      <c r="C106" s="10"/>
      <c r="D106" s="10"/>
      <c r="E106" s="10"/>
      <c r="F106" s="10"/>
      <c r="G106" s="10"/>
      <c r="H106" s="10"/>
      <c r="I106" s="10"/>
      <c r="J106" s="10"/>
      <c r="K106" s="2"/>
    </row>
    <row r="107" spans="2:11" x14ac:dyDescent="0.3">
      <c r="B107" s="51"/>
      <c r="C107" s="10"/>
      <c r="D107" s="10"/>
      <c r="E107" s="10"/>
      <c r="F107" s="10"/>
      <c r="G107" s="10"/>
      <c r="H107" s="10"/>
      <c r="I107" s="10"/>
      <c r="J107" s="10"/>
      <c r="K107" s="2"/>
    </row>
    <row r="108" spans="2:11" x14ac:dyDescent="0.3">
      <c r="B108" s="51"/>
      <c r="C108" s="10"/>
      <c r="D108" s="10"/>
      <c r="E108" s="10"/>
      <c r="F108" s="10"/>
      <c r="G108" s="10"/>
      <c r="H108" s="10"/>
      <c r="I108" s="10"/>
      <c r="J108" s="10"/>
      <c r="K108" s="2"/>
    </row>
    <row r="109" spans="2:11" x14ac:dyDescent="0.3">
      <c r="B109" s="51"/>
      <c r="C109" s="10"/>
      <c r="D109" s="10"/>
      <c r="E109" s="10"/>
      <c r="F109" s="10"/>
      <c r="G109" s="10"/>
      <c r="H109" s="10"/>
      <c r="I109" s="10"/>
      <c r="J109" s="10"/>
      <c r="K109" s="2"/>
    </row>
    <row r="110" spans="2:11" x14ac:dyDescent="0.3">
      <c r="B110" s="51"/>
      <c r="C110" s="10"/>
      <c r="D110" s="10"/>
      <c r="E110" s="10"/>
      <c r="F110" s="10"/>
      <c r="G110" s="10"/>
      <c r="H110" s="10"/>
      <c r="I110" s="10"/>
      <c r="J110" s="10"/>
      <c r="K110" s="2"/>
    </row>
    <row r="111" spans="2:11" x14ac:dyDescent="0.3">
      <c r="B111" s="51"/>
      <c r="C111" s="10"/>
      <c r="D111" s="10"/>
      <c r="E111" s="10"/>
      <c r="F111" s="10"/>
      <c r="G111" s="10"/>
      <c r="H111" s="10"/>
      <c r="I111" s="10"/>
      <c r="J111" s="10"/>
      <c r="K111" s="2"/>
    </row>
    <row r="112" spans="2:11" x14ac:dyDescent="0.3">
      <c r="B112" s="51"/>
      <c r="C112" s="10"/>
      <c r="D112" s="10"/>
      <c r="E112" s="10"/>
      <c r="F112" s="10"/>
      <c r="G112" s="10"/>
      <c r="H112" s="10"/>
      <c r="I112" s="10"/>
      <c r="J112" s="10"/>
      <c r="K112" s="2"/>
    </row>
    <row r="113" spans="2:11" x14ac:dyDescent="0.3">
      <c r="B113" s="51"/>
      <c r="C113" s="10"/>
      <c r="D113" s="10"/>
      <c r="E113" s="10"/>
      <c r="F113" s="10"/>
      <c r="G113" s="10"/>
      <c r="H113" s="10"/>
      <c r="I113" s="10"/>
      <c r="J113" s="10"/>
      <c r="K113" s="2"/>
    </row>
    <row r="114" spans="2:11" x14ac:dyDescent="0.3">
      <c r="B114" s="51"/>
      <c r="C114" s="10"/>
      <c r="D114" s="10"/>
      <c r="E114" s="10"/>
      <c r="F114" s="10"/>
      <c r="G114" s="10"/>
      <c r="H114" s="10"/>
      <c r="I114" s="10"/>
      <c r="J114" s="10"/>
      <c r="K114" s="2"/>
    </row>
    <row r="115" spans="2:11" x14ac:dyDescent="0.3">
      <c r="B115" s="51"/>
      <c r="C115" s="10"/>
      <c r="D115" s="10"/>
      <c r="E115" s="10"/>
      <c r="F115" s="10"/>
      <c r="G115" s="10"/>
      <c r="H115" s="10"/>
      <c r="I115" s="10"/>
      <c r="J115" s="10"/>
      <c r="K115" s="2"/>
    </row>
    <row r="116" spans="2:11" x14ac:dyDescent="0.3">
      <c r="B116" s="51"/>
      <c r="C116" s="10"/>
      <c r="D116" s="10"/>
      <c r="E116" s="10"/>
      <c r="F116" s="10"/>
      <c r="G116" s="10"/>
      <c r="H116" s="10"/>
      <c r="I116" s="10"/>
      <c r="J116" s="10"/>
      <c r="K116" s="2"/>
    </row>
    <row r="117" spans="2:11" x14ac:dyDescent="0.3">
      <c r="B117" s="51"/>
      <c r="C117" s="10"/>
      <c r="D117" s="10"/>
      <c r="E117" s="10"/>
      <c r="F117" s="10"/>
      <c r="G117" s="10"/>
      <c r="H117" s="10"/>
      <c r="I117" s="10"/>
      <c r="J117" s="10"/>
      <c r="K117" s="2"/>
    </row>
    <row r="118" spans="2:11" x14ac:dyDescent="0.3">
      <c r="B118" s="51"/>
      <c r="C118" s="10"/>
      <c r="D118" s="10"/>
      <c r="E118" s="10"/>
      <c r="F118" s="10"/>
      <c r="G118" s="10"/>
      <c r="H118" s="10"/>
      <c r="I118" s="10"/>
      <c r="J118" s="10"/>
      <c r="K118" s="2"/>
    </row>
    <row r="119" spans="2:11" x14ac:dyDescent="0.3">
      <c r="B119" s="51"/>
      <c r="C119" s="10"/>
      <c r="D119" s="10"/>
      <c r="E119" s="10"/>
      <c r="F119" s="10"/>
      <c r="G119" s="10"/>
      <c r="H119" s="10"/>
      <c r="I119" s="10"/>
      <c r="J119" s="10"/>
      <c r="K119" s="2"/>
    </row>
    <row r="120" spans="2:11" x14ac:dyDescent="0.3">
      <c r="B120" s="51"/>
      <c r="C120" s="10"/>
      <c r="D120" s="10"/>
      <c r="E120" s="10"/>
      <c r="F120" s="10"/>
      <c r="G120" s="10"/>
      <c r="H120" s="10"/>
      <c r="I120" s="10"/>
      <c r="J120" s="10"/>
      <c r="K120" s="2"/>
    </row>
    <row r="121" spans="2:11" x14ac:dyDescent="0.3">
      <c r="B121" s="51"/>
      <c r="C121" s="10"/>
      <c r="D121" s="10"/>
      <c r="E121" s="10"/>
      <c r="F121" s="10"/>
      <c r="G121" s="10"/>
      <c r="H121" s="10"/>
      <c r="I121" s="10"/>
      <c r="J121" s="10"/>
      <c r="K121" s="2"/>
    </row>
    <row r="122" spans="2:11" x14ac:dyDescent="0.3">
      <c r="B122" s="51"/>
      <c r="C122" s="10"/>
      <c r="D122" s="10"/>
      <c r="E122" s="10"/>
      <c r="F122" s="10"/>
      <c r="G122" s="10"/>
      <c r="H122" s="10"/>
      <c r="I122" s="10"/>
      <c r="J122" s="10"/>
      <c r="K122" s="2"/>
    </row>
    <row r="123" spans="2:11" x14ac:dyDescent="0.3">
      <c r="B123" s="51"/>
      <c r="C123" s="10"/>
      <c r="D123" s="10"/>
      <c r="E123" s="10"/>
      <c r="F123" s="10"/>
      <c r="G123" s="10"/>
      <c r="H123" s="10"/>
      <c r="I123" s="10"/>
      <c r="J123" s="10"/>
      <c r="K123" s="2"/>
    </row>
    <row r="124" spans="2:11" x14ac:dyDescent="0.3">
      <c r="B124" s="51"/>
      <c r="C124" s="10"/>
      <c r="D124" s="10"/>
      <c r="E124" s="10"/>
      <c r="F124" s="10"/>
      <c r="G124" s="10"/>
      <c r="H124" s="10"/>
      <c r="I124" s="10"/>
      <c r="J124" s="10"/>
      <c r="K124" s="2"/>
    </row>
    <row r="125" spans="2:11" x14ac:dyDescent="0.3">
      <c r="B125" s="51"/>
      <c r="C125" s="10"/>
      <c r="D125" s="10"/>
      <c r="E125" s="10"/>
      <c r="F125" s="10"/>
      <c r="G125" s="10"/>
      <c r="H125" s="10"/>
      <c r="I125" s="10"/>
      <c r="J125" s="10"/>
      <c r="K125" s="2"/>
    </row>
    <row r="126" spans="2:11" x14ac:dyDescent="0.3">
      <c r="B126" s="51"/>
      <c r="C126" s="10"/>
      <c r="D126" s="10"/>
      <c r="E126" s="10"/>
      <c r="F126" s="10"/>
      <c r="G126" s="10"/>
      <c r="H126" s="10"/>
      <c r="I126" s="10"/>
      <c r="J126" s="10"/>
      <c r="K126" s="2"/>
    </row>
    <row r="127" spans="2:11" x14ac:dyDescent="0.3">
      <c r="B127" s="51"/>
      <c r="C127" s="10"/>
      <c r="D127" s="10"/>
      <c r="E127" s="10"/>
      <c r="F127" s="10"/>
      <c r="G127" s="10"/>
      <c r="H127" s="10"/>
      <c r="I127" s="10"/>
      <c r="J127" s="10"/>
      <c r="K127" s="2"/>
    </row>
    <row r="128" spans="2:11" x14ac:dyDescent="0.3">
      <c r="B128" s="51"/>
      <c r="C128" s="10"/>
      <c r="D128" s="10"/>
      <c r="E128" s="10"/>
      <c r="F128" s="10"/>
      <c r="G128" s="10"/>
      <c r="H128" s="10"/>
      <c r="I128" s="10"/>
      <c r="J128" s="10"/>
      <c r="K128" s="2"/>
    </row>
    <row r="129" spans="2:11" x14ac:dyDescent="0.3">
      <c r="B129" s="51"/>
      <c r="C129" s="10"/>
      <c r="D129" s="10"/>
      <c r="E129" s="10"/>
      <c r="F129" s="10"/>
      <c r="G129" s="10"/>
      <c r="H129" s="10"/>
      <c r="I129" s="10"/>
      <c r="J129" s="10"/>
      <c r="K129" s="2"/>
    </row>
    <row r="130" spans="2:11" x14ac:dyDescent="0.3">
      <c r="B130" s="51"/>
      <c r="C130" s="10"/>
      <c r="D130" s="10"/>
      <c r="E130" s="10"/>
      <c r="F130" s="10"/>
      <c r="G130" s="10"/>
      <c r="H130" s="10"/>
      <c r="I130" s="10"/>
      <c r="J130" s="10"/>
      <c r="K130" s="2"/>
    </row>
    <row r="131" spans="2:11" x14ac:dyDescent="0.3">
      <c r="B131" s="51"/>
      <c r="C131" s="10"/>
      <c r="D131" s="10"/>
      <c r="E131" s="10"/>
      <c r="F131" s="10"/>
      <c r="G131" s="10"/>
      <c r="H131" s="10"/>
      <c r="I131" s="10"/>
      <c r="J131" s="10"/>
      <c r="K131" s="2"/>
    </row>
    <row r="132" spans="2:11" x14ac:dyDescent="0.3">
      <c r="B132" s="51"/>
      <c r="C132" s="10"/>
      <c r="D132" s="10"/>
      <c r="E132" s="10"/>
      <c r="F132" s="10"/>
      <c r="G132" s="10"/>
      <c r="H132" s="10"/>
      <c r="I132" s="10"/>
      <c r="J132" s="10"/>
      <c r="K132" s="2"/>
    </row>
    <row r="133" spans="2:11" x14ac:dyDescent="0.3">
      <c r="B133" s="51"/>
      <c r="C133" s="10"/>
      <c r="D133" s="10"/>
      <c r="E133" s="10"/>
      <c r="F133" s="10"/>
      <c r="G133" s="10"/>
      <c r="H133" s="10"/>
      <c r="I133" s="10"/>
      <c r="J133" s="10"/>
      <c r="K133" s="2"/>
    </row>
    <row r="134" spans="2:11" x14ac:dyDescent="0.3">
      <c r="B134" s="51"/>
      <c r="C134" s="10"/>
      <c r="D134" s="10"/>
      <c r="E134" s="10"/>
      <c r="F134" s="10"/>
      <c r="G134" s="10"/>
      <c r="H134" s="10"/>
      <c r="I134" s="10"/>
      <c r="J134" s="10"/>
      <c r="K134" s="2"/>
    </row>
    <row r="135" spans="2:11" x14ac:dyDescent="0.3">
      <c r="B135" s="51"/>
      <c r="C135" s="10"/>
      <c r="D135" s="10"/>
      <c r="E135" s="10"/>
      <c r="F135" s="10"/>
      <c r="G135" s="10"/>
      <c r="H135" s="10"/>
      <c r="I135" s="10"/>
      <c r="J135" s="10"/>
      <c r="K135" s="2"/>
    </row>
    <row r="136" spans="2:11" x14ac:dyDescent="0.3">
      <c r="B136" s="51"/>
      <c r="C136" s="10"/>
      <c r="D136" s="10"/>
      <c r="E136" s="10"/>
      <c r="F136" s="10"/>
      <c r="G136" s="10"/>
      <c r="H136" s="10"/>
      <c r="I136" s="10"/>
      <c r="J136" s="10"/>
      <c r="K136" s="2"/>
    </row>
    <row r="137" spans="2:11" x14ac:dyDescent="0.3">
      <c r="B137" s="51"/>
      <c r="C137" s="10"/>
      <c r="D137" s="10"/>
      <c r="E137" s="10"/>
      <c r="F137" s="10"/>
      <c r="G137" s="10"/>
      <c r="H137" s="10"/>
      <c r="I137" s="10"/>
      <c r="J137" s="10"/>
      <c r="K137" s="2"/>
    </row>
    <row r="138" spans="2:11" x14ac:dyDescent="0.3">
      <c r="B138" s="51"/>
      <c r="C138" s="10"/>
      <c r="D138" s="10"/>
      <c r="E138" s="10"/>
      <c r="F138" s="10"/>
      <c r="G138" s="10"/>
      <c r="H138" s="10"/>
      <c r="I138" s="10"/>
      <c r="J138" s="10"/>
      <c r="K138" s="2"/>
    </row>
    <row r="139" spans="2:11" x14ac:dyDescent="0.3">
      <c r="B139" s="51"/>
      <c r="C139" s="10"/>
      <c r="D139" s="10"/>
      <c r="E139" s="10"/>
      <c r="F139" s="10"/>
      <c r="G139" s="10"/>
      <c r="H139" s="10"/>
      <c r="I139" s="10"/>
      <c r="J139" s="10"/>
      <c r="K139" s="2"/>
    </row>
    <row r="140" spans="2:11" x14ac:dyDescent="0.3">
      <c r="B140" s="51"/>
      <c r="C140" s="10"/>
      <c r="D140" s="10"/>
      <c r="E140" s="10"/>
      <c r="F140" s="10"/>
      <c r="G140" s="10"/>
      <c r="H140" s="10"/>
      <c r="I140" s="10"/>
      <c r="J140" s="10"/>
      <c r="K140" s="2"/>
    </row>
    <row r="141" spans="2:11" x14ac:dyDescent="0.3">
      <c r="B141" s="51"/>
      <c r="C141" s="10"/>
      <c r="D141" s="10"/>
      <c r="E141" s="10"/>
      <c r="F141" s="10"/>
      <c r="G141" s="10"/>
      <c r="H141" s="10"/>
      <c r="I141" s="10"/>
      <c r="J141" s="10"/>
      <c r="K141" s="2"/>
    </row>
    <row r="142" spans="2:11" x14ac:dyDescent="0.3">
      <c r="B142" s="51"/>
      <c r="C142" s="10"/>
      <c r="D142" s="10"/>
      <c r="E142" s="10"/>
      <c r="F142" s="10"/>
      <c r="G142" s="10"/>
      <c r="H142" s="10"/>
      <c r="I142" s="10"/>
      <c r="J142" s="10"/>
      <c r="K142" s="2"/>
    </row>
    <row r="143" spans="2:11" x14ac:dyDescent="0.3">
      <c r="B143" s="51"/>
      <c r="C143" s="10"/>
      <c r="D143" s="10"/>
      <c r="E143" s="10"/>
      <c r="F143" s="10"/>
      <c r="G143" s="10"/>
      <c r="H143" s="10"/>
      <c r="I143" s="10"/>
      <c r="J143" s="10"/>
      <c r="K143" s="2"/>
    </row>
    <row r="144" spans="2:11" x14ac:dyDescent="0.3">
      <c r="B144" s="51"/>
      <c r="C144" s="10"/>
      <c r="D144" s="10"/>
      <c r="E144" s="10"/>
      <c r="F144" s="10"/>
      <c r="G144" s="10"/>
      <c r="H144" s="10"/>
      <c r="I144" s="10"/>
      <c r="J144" s="10"/>
      <c r="K144" s="2"/>
    </row>
    <row r="145" spans="2:11" x14ac:dyDescent="0.3">
      <c r="B145" s="51"/>
      <c r="C145" s="10"/>
      <c r="D145" s="10"/>
      <c r="E145" s="10"/>
      <c r="F145" s="10"/>
      <c r="G145" s="10"/>
      <c r="H145" s="10"/>
      <c r="I145" s="10"/>
      <c r="J145" s="10"/>
      <c r="K145" s="2"/>
    </row>
    <row r="146" spans="2:11" x14ac:dyDescent="0.3">
      <c r="B146" s="51"/>
      <c r="C146" s="10"/>
      <c r="D146" s="10"/>
      <c r="E146" s="10"/>
      <c r="F146" s="10"/>
      <c r="G146" s="10"/>
      <c r="H146" s="10"/>
      <c r="I146" s="10"/>
      <c r="J146" s="10"/>
      <c r="K146" s="2"/>
    </row>
    <row r="147" spans="2:11" x14ac:dyDescent="0.3">
      <c r="B147" s="51"/>
      <c r="C147" s="10"/>
      <c r="D147" s="10"/>
      <c r="F147" s="10"/>
      <c r="G147" s="10"/>
      <c r="H147" s="10"/>
      <c r="I147" s="10"/>
      <c r="J147" s="18"/>
    </row>
    <row r="148" spans="2:11" x14ac:dyDescent="0.3">
      <c r="B148" s="24"/>
      <c r="C148" s="19"/>
      <c r="D148" s="25"/>
      <c r="F148" s="10"/>
      <c r="G148" s="10"/>
      <c r="H148" s="10"/>
      <c r="I148" s="10"/>
      <c r="J148" s="2"/>
    </row>
    <row r="149" spans="2:11" x14ac:dyDescent="0.3">
      <c r="F149" s="10"/>
      <c r="G149" s="10"/>
      <c r="H149" s="10"/>
      <c r="I149" s="10"/>
      <c r="J149" s="2"/>
    </row>
    <row r="150" spans="2:11" x14ac:dyDescent="0.3">
      <c r="F150" s="19"/>
      <c r="G150" s="25"/>
      <c r="H150" s="10"/>
      <c r="I150" s="10"/>
      <c r="J150" s="2"/>
    </row>
    <row r="151" spans="2:11" x14ac:dyDescent="0.3">
      <c r="G151" s="26"/>
      <c r="H151" s="10"/>
      <c r="I151" s="10"/>
      <c r="J151" s="2"/>
    </row>
    <row r="152" spans="2:11" x14ac:dyDescent="0.3">
      <c r="G152" s="26"/>
      <c r="H152" s="10"/>
      <c r="I152" s="10"/>
      <c r="J152" s="2"/>
    </row>
    <row r="153" spans="2:11" x14ac:dyDescent="0.3">
      <c r="G153" s="26"/>
      <c r="H153" s="10"/>
      <c r="I153" s="10"/>
      <c r="J153" s="2"/>
    </row>
    <row r="154" spans="2:11" x14ac:dyDescent="0.3">
      <c r="G154" s="26"/>
      <c r="H154" s="10"/>
      <c r="I154" s="10"/>
      <c r="J154" s="2"/>
    </row>
    <row r="155" spans="2:11" x14ac:dyDescent="0.3">
      <c r="G155" s="26"/>
      <c r="H155" s="10"/>
      <c r="I155" s="10"/>
      <c r="J155" s="2"/>
    </row>
    <row r="156" spans="2:11" x14ac:dyDescent="0.3">
      <c r="G156" s="26"/>
      <c r="H156" s="10"/>
      <c r="I156" s="10"/>
      <c r="J156" s="2"/>
    </row>
    <row r="157" spans="2:11" x14ac:dyDescent="0.3">
      <c r="G157" s="26"/>
      <c r="H157" s="10"/>
      <c r="I157" s="10"/>
      <c r="J157" s="2"/>
    </row>
    <row r="158" spans="2:11" x14ac:dyDescent="0.3">
      <c r="G158" s="26"/>
      <c r="H158" s="10"/>
      <c r="I158" s="10"/>
      <c r="J158" s="2"/>
    </row>
    <row r="159" spans="2:11" x14ac:dyDescent="0.3">
      <c r="G159" s="26"/>
      <c r="H159" s="10"/>
      <c r="I159" s="10"/>
      <c r="J159" s="2"/>
    </row>
    <row r="160" spans="2:11" x14ac:dyDescent="0.3">
      <c r="G160" s="26"/>
      <c r="H160" s="10"/>
      <c r="I160" s="10"/>
      <c r="J160" s="2"/>
    </row>
    <row r="161" spans="7:10" x14ac:dyDescent="0.3">
      <c r="G161" s="26"/>
      <c r="H161" s="10"/>
      <c r="I161" s="10"/>
      <c r="J161" s="2"/>
    </row>
    <row r="162" spans="7:10" x14ac:dyDescent="0.3">
      <c r="G162" s="26"/>
      <c r="H162" s="10"/>
      <c r="I162" s="10"/>
      <c r="J162" s="2"/>
    </row>
    <row r="163" spans="7:10" x14ac:dyDescent="0.3">
      <c r="G163" s="26"/>
      <c r="H163" s="10"/>
      <c r="I163" s="10"/>
      <c r="J163" s="2"/>
    </row>
    <row r="164" spans="7:10" x14ac:dyDescent="0.3">
      <c r="G164" s="26"/>
      <c r="H164" s="10"/>
      <c r="I164" s="10"/>
      <c r="J164" s="2"/>
    </row>
    <row r="165" spans="7:10" x14ac:dyDescent="0.3">
      <c r="G165" s="26"/>
      <c r="H165" s="10"/>
      <c r="I165" s="10"/>
      <c r="J165" s="2"/>
    </row>
    <row r="166" spans="7:10" x14ac:dyDescent="0.3">
      <c r="G166" s="26"/>
      <c r="H166" s="10"/>
      <c r="I166" s="10"/>
      <c r="J166" s="2"/>
    </row>
    <row r="167" spans="7:10" x14ac:dyDescent="0.3">
      <c r="G167" s="26"/>
      <c r="H167" s="10"/>
      <c r="I167" s="10"/>
      <c r="J167" s="2"/>
    </row>
    <row r="168" spans="7:10" x14ac:dyDescent="0.3">
      <c r="G168" s="26"/>
      <c r="H168" s="10"/>
      <c r="I168" s="10"/>
      <c r="J168" s="2"/>
    </row>
    <row r="169" spans="7:10" x14ac:dyDescent="0.3">
      <c r="G169" s="26"/>
      <c r="H169" s="10"/>
      <c r="I169" s="10"/>
      <c r="J169" s="2"/>
    </row>
    <row r="170" spans="7:10" x14ac:dyDescent="0.3">
      <c r="G170" s="26"/>
      <c r="H170" s="10"/>
      <c r="I170" s="10"/>
      <c r="J170" s="2"/>
    </row>
    <row r="171" spans="7:10" x14ac:dyDescent="0.3">
      <c r="G171" s="26"/>
      <c r="H171" s="10"/>
      <c r="I171" s="10"/>
      <c r="J171" s="2"/>
    </row>
    <row r="172" spans="7:10" x14ac:dyDescent="0.3">
      <c r="G172" s="26"/>
      <c r="H172" s="10"/>
      <c r="I172" s="10"/>
      <c r="J172" s="2"/>
    </row>
    <row r="173" spans="7:10" x14ac:dyDescent="0.3">
      <c r="G173" s="26"/>
      <c r="H173" s="10"/>
      <c r="I173" s="10"/>
      <c r="J173" s="2"/>
    </row>
    <row r="174" spans="7:10" x14ac:dyDescent="0.3">
      <c r="G174" s="26"/>
      <c r="H174" s="10"/>
      <c r="I174" s="10"/>
      <c r="J174" s="2"/>
    </row>
    <row r="175" spans="7:10" x14ac:dyDescent="0.3">
      <c r="G175" s="26"/>
      <c r="H175" s="10"/>
      <c r="I175" s="10"/>
      <c r="J175" s="2"/>
    </row>
    <row r="176" spans="7:10" x14ac:dyDescent="0.3">
      <c r="G176" s="26"/>
      <c r="H176" s="10"/>
      <c r="I176" s="10"/>
      <c r="J176" s="2"/>
    </row>
    <row r="177" spans="7:10" x14ac:dyDescent="0.3">
      <c r="G177" s="26"/>
      <c r="H177" s="10"/>
      <c r="I177" s="10"/>
      <c r="J177" s="2"/>
    </row>
    <row r="178" spans="7:10" x14ac:dyDescent="0.3">
      <c r="G178" s="26"/>
      <c r="H178" s="10"/>
      <c r="I178" s="10"/>
      <c r="J178" s="2"/>
    </row>
    <row r="179" spans="7:10" x14ac:dyDescent="0.3">
      <c r="G179" s="26"/>
      <c r="H179" s="10"/>
      <c r="I179" s="10"/>
      <c r="J179" s="2"/>
    </row>
    <row r="180" spans="7:10" x14ac:dyDescent="0.3">
      <c r="G180" s="26"/>
      <c r="H180" s="10"/>
      <c r="I180" s="10"/>
      <c r="J180" s="2"/>
    </row>
    <row r="181" spans="7:10" x14ac:dyDescent="0.3">
      <c r="G181" s="26"/>
      <c r="H181" s="10"/>
      <c r="I181" s="10"/>
      <c r="J181" s="2"/>
    </row>
    <row r="182" spans="7:10" x14ac:dyDescent="0.3">
      <c r="G182" s="26"/>
      <c r="H182" s="10"/>
      <c r="I182" s="10"/>
      <c r="J182" s="2"/>
    </row>
    <row r="183" spans="7:10" x14ac:dyDescent="0.3">
      <c r="G183" s="26"/>
      <c r="H183" s="10"/>
      <c r="I183" s="10"/>
      <c r="J183" s="2"/>
    </row>
    <row r="184" spans="7:10" x14ac:dyDescent="0.3">
      <c r="G184" s="26"/>
      <c r="H184" s="10"/>
      <c r="I184" s="10"/>
      <c r="J184" s="2"/>
    </row>
    <row r="185" spans="7:10" x14ac:dyDescent="0.3">
      <c r="G185" s="26"/>
      <c r="H185" s="10"/>
      <c r="I185" s="10"/>
      <c r="J185" s="2"/>
    </row>
    <row r="186" spans="7:10" x14ac:dyDescent="0.3">
      <c r="G186" s="26"/>
      <c r="H186" s="10"/>
      <c r="I186" s="10"/>
      <c r="J186" s="2"/>
    </row>
    <row r="187" spans="7:10" x14ac:dyDescent="0.3">
      <c r="G187" s="26"/>
      <c r="H187" s="10"/>
      <c r="I187" s="10"/>
      <c r="J187" s="2"/>
    </row>
    <row r="188" spans="7:10" x14ac:dyDescent="0.3">
      <c r="G188" s="26"/>
      <c r="H188" s="10"/>
      <c r="I188" s="10"/>
      <c r="J188" s="2"/>
    </row>
    <row r="189" spans="7:10" x14ac:dyDescent="0.3">
      <c r="G189" s="26"/>
      <c r="H189" s="10"/>
      <c r="I189" s="10"/>
      <c r="J189" s="2"/>
    </row>
    <row r="190" spans="7:10" x14ac:dyDescent="0.3">
      <c r="G190" s="26"/>
      <c r="H190" s="10"/>
      <c r="I190" s="10"/>
      <c r="J190" s="2"/>
    </row>
    <row r="191" spans="7:10" x14ac:dyDescent="0.3">
      <c r="G191" s="26"/>
      <c r="H191" s="10"/>
      <c r="I191" s="10"/>
      <c r="J191" s="2"/>
    </row>
    <row r="192" spans="7:10" x14ac:dyDescent="0.3">
      <c r="G192" s="26"/>
      <c r="H192" s="10"/>
      <c r="I192" s="10"/>
      <c r="J192" s="2"/>
    </row>
    <row r="193" spans="7:10" x14ac:dyDescent="0.3">
      <c r="G193" s="26"/>
      <c r="H193" s="10"/>
      <c r="I193" s="10"/>
      <c r="J193" s="2"/>
    </row>
    <row r="194" spans="7:10" x14ac:dyDescent="0.3">
      <c r="G194" s="26"/>
      <c r="H194" s="10"/>
      <c r="I194" s="10"/>
      <c r="J194" s="2"/>
    </row>
    <row r="195" spans="7:10" x14ac:dyDescent="0.3">
      <c r="G195" s="26"/>
      <c r="H195" s="10"/>
      <c r="I195" s="10"/>
      <c r="J195" s="2"/>
    </row>
    <row r="196" spans="7:10" x14ac:dyDescent="0.3">
      <c r="G196" s="26"/>
      <c r="H196" s="10"/>
      <c r="I196" s="10"/>
      <c r="J196" s="2"/>
    </row>
    <row r="197" spans="7:10" x14ac:dyDescent="0.3">
      <c r="G197" s="26"/>
      <c r="H197" s="10"/>
      <c r="I197" s="10"/>
      <c r="J197" s="2"/>
    </row>
    <row r="198" spans="7:10" x14ac:dyDescent="0.3">
      <c r="G198" s="26"/>
      <c r="H198" s="10"/>
      <c r="I198" s="10"/>
      <c r="J198" s="2"/>
    </row>
    <row r="199" spans="7:10" x14ac:dyDescent="0.3">
      <c r="G199" s="26"/>
      <c r="H199" s="10"/>
      <c r="I199" s="10"/>
      <c r="J199" s="2"/>
    </row>
    <row r="200" spans="7:10" x14ac:dyDescent="0.3">
      <c r="G200" s="26"/>
      <c r="H200" s="10"/>
      <c r="I200" s="10"/>
      <c r="J200" s="2"/>
    </row>
    <row r="201" spans="7:10" x14ac:dyDescent="0.3">
      <c r="G201" s="26"/>
      <c r="H201" s="10"/>
      <c r="I201" s="10"/>
      <c r="J201" s="2"/>
    </row>
    <row r="202" spans="7:10" x14ac:dyDescent="0.3">
      <c r="G202" s="26"/>
      <c r="H202" s="10"/>
      <c r="I202" s="10"/>
      <c r="J202" s="2"/>
    </row>
    <row r="203" spans="7:10" x14ac:dyDescent="0.3">
      <c r="G203" s="26"/>
      <c r="H203" s="10"/>
      <c r="I203" s="10"/>
      <c r="J203" s="2"/>
    </row>
    <row r="204" spans="7:10" x14ac:dyDescent="0.3">
      <c r="G204" s="26"/>
      <c r="H204" s="10"/>
      <c r="I204" s="10"/>
      <c r="J204" s="2"/>
    </row>
    <row r="205" spans="7:10" x14ac:dyDescent="0.3">
      <c r="G205" s="26"/>
      <c r="H205" s="10"/>
      <c r="I205" s="10"/>
      <c r="J205" s="2"/>
    </row>
    <row r="206" spans="7:10" x14ac:dyDescent="0.3">
      <c r="G206" s="26"/>
      <c r="H206" s="10"/>
      <c r="I206" s="10"/>
      <c r="J206" s="2"/>
    </row>
    <row r="207" spans="7:10" x14ac:dyDescent="0.3">
      <c r="G207" s="26"/>
      <c r="H207" s="10"/>
      <c r="I207" s="10"/>
      <c r="J207" s="2"/>
    </row>
    <row r="208" spans="7:10" x14ac:dyDescent="0.3">
      <c r="G208" s="26"/>
      <c r="H208" s="10"/>
      <c r="I208" s="10"/>
      <c r="J208" s="2"/>
    </row>
    <row r="209" spans="7:10" x14ac:dyDescent="0.3">
      <c r="G209" s="26"/>
      <c r="H209" s="10"/>
      <c r="I209" s="10"/>
      <c r="J209" s="2"/>
    </row>
    <row r="210" spans="7:10" x14ac:dyDescent="0.3">
      <c r="G210" s="26"/>
      <c r="H210" s="10"/>
      <c r="I210" s="10"/>
      <c r="J210" s="2"/>
    </row>
    <row r="211" spans="7:10" x14ac:dyDescent="0.3">
      <c r="G211" s="26"/>
      <c r="H211" s="10"/>
      <c r="I211" s="10"/>
      <c r="J211" s="2"/>
    </row>
    <row r="212" spans="7:10" x14ac:dyDescent="0.3">
      <c r="G212" s="26"/>
      <c r="H212" s="10"/>
      <c r="I212" s="10"/>
      <c r="J212" s="2"/>
    </row>
    <row r="213" spans="7:10" x14ac:dyDescent="0.3">
      <c r="G213" s="26"/>
      <c r="H213" s="10"/>
      <c r="I213" s="10"/>
      <c r="J213" s="2"/>
    </row>
    <row r="214" spans="7:10" x14ac:dyDescent="0.3">
      <c r="G214" s="26"/>
      <c r="H214" s="10"/>
      <c r="I214" s="10"/>
      <c r="J214" s="2"/>
    </row>
    <row r="215" spans="7:10" x14ac:dyDescent="0.3">
      <c r="G215" s="26"/>
      <c r="H215" s="10"/>
      <c r="I215" s="10"/>
      <c r="J215" s="2"/>
    </row>
    <row r="216" spans="7:10" x14ac:dyDescent="0.3">
      <c r="G216" s="26"/>
      <c r="H216" s="10"/>
      <c r="I216" s="10"/>
      <c r="J216" s="2"/>
    </row>
    <row r="217" spans="7:10" x14ac:dyDescent="0.3">
      <c r="G217" s="26"/>
      <c r="H217" s="10"/>
      <c r="I217" s="10"/>
      <c r="J217" s="2"/>
    </row>
    <row r="218" spans="7:10" x14ac:dyDescent="0.3">
      <c r="G218" s="26"/>
      <c r="H218" s="10"/>
      <c r="I218" s="10"/>
      <c r="J218" s="2"/>
    </row>
    <row r="219" spans="7:10" x14ac:dyDescent="0.3">
      <c r="G219" s="26"/>
      <c r="H219" s="10"/>
      <c r="I219" s="10"/>
      <c r="J219" s="2"/>
    </row>
    <row r="220" spans="7:10" x14ac:dyDescent="0.3">
      <c r="G220" s="26"/>
      <c r="H220" s="10"/>
      <c r="I220" s="10"/>
      <c r="J220" s="2"/>
    </row>
    <row r="221" spans="7:10" x14ac:dyDescent="0.3">
      <c r="G221" s="26"/>
      <c r="H221" s="10"/>
      <c r="I221" s="10"/>
      <c r="J221" s="2"/>
    </row>
    <row r="222" spans="7:10" x14ac:dyDescent="0.3">
      <c r="G222" s="26"/>
      <c r="H222" s="10"/>
      <c r="I222" s="10"/>
      <c r="J222" s="2"/>
    </row>
    <row r="223" spans="7:10" x14ac:dyDescent="0.3">
      <c r="G223" s="26"/>
      <c r="H223" s="10"/>
      <c r="I223" s="10"/>
      <c r="J223" s="2"/>
    </row>
    <row r="224" spans="7:10" x14ac:dyDescent="0.3">
      <c r="G224" s="26"/>
      <c r="H224" s="10"/>
      <c r="I224" s="10"/>
      <c r="J224" s="2"/>
    </row>
    <row r="225" spans="7:10" x14ac:dyDescent="0.3">
      <c r="G225" s="26"/>
      <c r="H225" s="10"/>
      <c r="I225" s="10"/>
      <c r="J225" s="2"/>
    </row>
    <row r="226" spans="7:10" x14ac:dyDescent="0.3">
      <c r="G226" s="26"/>
      <c r="H226" s="10"/>
      <c r="I226" s="10"/>
      <c r="J226" s="2"/>
    </row>
    <row r="227" spans="7:10" x14ac:dyDescent="0.3">
      <c r="G227" s="26"/>
      <c r="H227" s="10"/>
      <c r="I227" s="10"/>
      <c r="J227" s="2"/>
    </row>
    <row r="228" spans="7:10" x14ac:dyDescent="0.3">
      <c r="G228" s="26"/>
      <c r="H228" s="10"/>
      <c r="I228" s="10"/>
      <c r="J228" s="2"/>
    </row>
    <row r="229" spans="7:10" x14ac:dyDescent="0.3">
      <c r="G229" s="26"/>
      <c r="H229" s="10"/>
      <c r="I229" s="10"/>
      <c r="J229" s="2"/>
    </row>
    <row r="230" spans="7:10" x14ac:dyDescent="0.3">
      <c r="G230" s="26"/>
      <c r="H230" s="10"/>
      <c r="I230" s="10"/>
      <c r="J230" s="2"/>
    </row>
    <row r="231" spans="7:10" x14ac:dyDescent="0.3">
      <c r="G231" s="26"/>
      <c r="H231" s="10"/>
      <c r="I231" s="10"/>
      <c r="J231" s="2"/>
    </row>
    <row r="232" spans="7:10" x14ac:dyDescent="0.3">
      <c r="G232" s="26"/>
      <c r="H232" s="10"/>
      <c r="I232" s="10"/>
      <c r="J232" s="2"/>
    </row>
    <row r="233" spans="7:10" x14ac:dyDescent="0.3">
      <c r="G233" s="26"/>
      <c r="H233" s="10"/>
      <c r="I233" s="10"/>
      <c r="J233" s="2"/>
    </row>
    <row r="234" spans="7:10" x14ac:dyDescent="0.3">
      <c r="G234" s="26"/>
      <c r="H234" s="10"/>
      <c r="I234" s="10"/>
      <c r="J234" s="2"/>
    </row>
    <row r="235" spans="7:10" x14ac:dyDescent="0.3">
      <c r="G235" s="26"/>
      <c r="H235" s="10"/>
      <c r="I235" s="10"/>
      <c r="J235" s="2"/>
    </row>
    <row r="236" spans="7:10" x14ac:dyDescent="0.3">
      <c r="G236" s="26"/>
      <c r="H236" s="10"/>
      <c r="I236" s="10"/>
      <c r="J236" s="2"/>
    </row>
    <row r="237" spans="7:10" x14ac:dyDescent="0.3">
      <c r="G237" s="26"/>
      <c r="H237" s="10"/>
      <c r="I237" s="10"/>
      <c r="J237" s="2"/>
    </row>
    <row r="238" spans="7:10" x14ac:dyDescent="0.3">
      <c r="G238" s="26"/>
      <c r="H238" s="10"/>
      <c r="I238" s="10"/>
      <c r="J238" s="2"/>
    </row>
    <row r="239" spans="7:10" x14ac:dyDescent="0.3">
      <c r="G239" s="26"/>
      <c r="H239" s="10"/>
      <c r="I239" s="10"/>
      <c r="J239" s="2"/>
    </row>
    <row r="240" spans="7:10" x14ac:dyDescent="0.3">
      <c r="G240" s="26"/>
      <c r="H240" s="10"/>
      <c r="I240" s="10"/>
      <c r="J240" s="2"/>
    </row>
    <row r="241" spans="7:10" x14ac:dyDescent="0.3">
      <c r="G241" s="26"/>
      <c r="H241" s="10"/>
      <c r="I241" s="10"/>
      <c r="J241" s="2"/>
    </row>
    <row r="242" spans="7:10" x14ac:dyDescent="0.3">
      <c r="G242" s="26"/>
      <c r="H242" s="10"/>
      <c r="I242" s="10"/>
      <c r="J242" s="2"/>
    </row>
    <row r="243" spans="7:10" x14ac:dyDescent="0.3">
      <c r="G243" s="26"/>
      <c r="H243" s="10"/>
      <c r="I243" s="10"/>
      <c r="J243" s="2"/>
    </row>
    <row r="244" spans="7:10" x14ac:dyDescent="0.3">
      <c r="G244" s="26"/>
      <c r="H244" s="10"/>
      <c r="I244" s="10"/>
      <c r="J244" s="2"/>
    </row>
    <row r="245" spans="7:10" x14ac:dyDescent="0.3">
      <c r="G245" s="26"/>
      <c r="H245" s="10"/>
      <c r="I245" s="10"/>
      <c r="J245" s="2"/>
    </row>
    <row r="246" spans="7:10" x14ac:dyDescent="0.3">
      <c r="G246" s="26"/>
      <c r="H246" s="10"/>
      <c r="I246" s="10"/>
      <c r="J246" s="2"/>
    </row>
    <row r="247" spans="7:10" x14ac:dyDescent="0.3">
      <c r="G247" s="26"/>
      <c r="H247" s="10"/>
      <c r="I247" s="10"/>
      <c r="J247" s="2"/>
    </row>
    <row r="248" spans="7:10" x14ac:dyDescent="0.3">
      <c r="G248" s="26"/>
      <c r="H248" s="10"/>
      <c r="I248" s="10"/>
      <c r="J248" s="2"/>
    </row>
    <row r="249" spans="7:10" x14ac:dyDescent="0.3">
      <c r="G249" s="26"/>
      <c r="H249" s="10"/>
      <c r="I249" s="10"/>
      <c r="J249" s="2"/>
    </row>
    <row r="250" spans="7:10" x14ac:dyDescent="0.3">
      <c r="G250" s="26"/>
      <c r="H250" s="10"/>
      <c r="I250" s="10"/>
      <c r="J250" s="2"/>
    </row>
    <row r="251" spans="7:10" x14ac:dyDescent="0.3">
      <c r="G251" s="26"/>
      <c r="H251" s="10"/>
      <c r="I251" s="10"/>
      <c r="J251" s="2"/>
    </row>
    <row r="252" spans="7:10" x14ac:dyDescent="0.3">
      <c r="G252" s="26"/>
      <c r="H252" s="10"/>
      <c r="I252" s="10"/>
      <c r="J252" s="2"/>
    </row>
    <row r="253" spans="7:10" x14ac:dyDescent="0.3">
      <c r="G253" s="26"/>
      <c r="H253" s="10"/>
      <c r="I253" s="10"/>
      <c r="J253" s="2"/>
    </row>
    <row r="254" spans="7:10" x14ac:dyDescent="0.3">
      <c r="G254" s="26"/>
      <c r="H254" s="10"/>
      <c r="I254" s="10"/>
      <c r="J254" s="2"/>
    </row>
    <row r="255" spans="7:10" x14ac:dyDescent="0.3">
      <c r="G255" s="26"/>
      <c r="H255" s="10"/>
      <c r="I255" s="10"/>
      <c r="J255" s="2"/>
    </row>
    <row r="256" spans="7:10" x14ac:dyDescent="0.3">
      <c r="G256" s="26"/>
      <c r="H256" s="10"/>
      <c r="I256" s="10"/>
      <c r="J256" s="2"/>
    </row>
    <row r="257" spans="7:10" x14ac:dyDescent="0.3">
      <c r="G257" s="26"/>
      <c r="H257" s="10"/>
      <c r="I257" s="10"/>
      <c r="J257" s="2"/>
    </row>
    <row r="258" spans="7:10" x14ac:dyDescent="0.3">
      <c r="G258" s="26"/>
      <c r="H258" s="10"/>
      <c r="I258" s="10"/>
      <c r="J258" s="2"/>
    </row>
    <row r="259" spans="7:10" x14ac:dyDescent="0.3">
      <c r="G259" s="26"/>
      <c r="H259" s="10"/>
      <c r="I259" s="10"/>
      <c r="J259" s="2"/>
    </row>
    <row r="260" spans="7:10" x14ac:dyDescent="0.3">
      <c r="G260" s="26"/>
      <c r="H260" s="10"/>
      <c r="I260" s="10"/>
      <c r="J260" s="2"/>
    </row>
    <row r="261" spans="7:10" x14ac:dyDescent="0.3">
      <c r="G261" s="26"/>
      <c r="H261" s="10"/>
      <c r="I261" s="19"/>
    </row>
    <row r="262" spans="7:10" x14ac:dyDescent="0.3">
      <c r="G262" s="26"/>
      <c r="H262" s="10"/>
    </row>
    <row r="263" spans="7:10" x14ac:dyDescent="0.3">
      <c r="G263" s="26"/>
      <c r="H263" s="10"/>
    </row>
    <row r="264" spans="7:10" x14ac:dyDescent="0.3">
      <c r="H264" s="19"/>
    </row>
  </sheetData>
  <sheetProtection sheet="1" objects="1" scenarios="1"/>
  <mergeCells count="6">
    <mergeCell ref="B54:F54"/>
    <mergeCell ref="B12:D12"/>
    <mergeCell ref="B37:D37"/>
    <mergeCell ref="B41:D41"/>
    <mergeCell ref="B1:H1"/>
    <mergeCell ref="B2:D2"/>
  </mergeCells>
  <printOptions horizontalCentered="1"/>
  <pageMargins left="0.70866141732283472" right="0.70866141732283472" top="0.59055118110236227" bottom="0.47244094488188981" header="0.31496062992125984" footer="0.31496062992125984"/>
  <pageSetup paperSize="9"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29FD0-F787-476D-98C9-44740DB35906}">
  <dimension ref="A4:C11"/>
  <sheetViews>
    <sheetView workbookViewId="0">
      <selection activeCell="C11" sqref="C11"/>
    </sheetView>
  </sheetViews>
  <sheetFormatPr baseColWidth="10" defaultRowHeight="14.5" x14ac:dyDescent="0.35"/>
  <cols>
    <col min="1" max="1" width="31.08984375" customWidth="1"/>
  </cols>
  <sheetData>
    <row r="4" spans="1:3" x14ac:dyDescent="0.35">
      <c r="A4" s="5"/>
      <c r="B4" s="28" t="s">
        <v>54</v>
      </c>
      <c r="C4" s="31" t="s">
        <v>55</v>
      </c>
    </row>
    <row r="5" spans="1:3" x14ac:dyDescent="0.35">
      <c r="A5" s="7" t="s">
        <v>68</v>
      </c>
      <c r="B5" s="8">
        <f>'Contribution d''entretien'!C10</f>
        <v>5000</v>
      </c>
      <c r="C5" s="8">
        <f>'Contribution d''entretien'!D10</f>
        <v>4000</v>
      </c>
    </row>
    <row r="6" spans="1:3" x14ac:dyDescent="0.35">
      <c r="A6" t="s">
        <v>25</v>
      </c>
      <c r="B6" s="70">
        <f>'Contribution d''entretien'!C34</f>
        <v>6689.5999999999995</v>
      </c>
      <c r="C6" s="70">
        <f>'Contribution d''entretien'!D34</f>
        <v>4892.9999999999991</v>
      </c>
    </row>
    <row r="7" spans="1:3" x14ac:dyDescent="0.35">
      <c r="A7" t="s">
        <v>70</v>
      </c>
      <c r="B7" s="70">
        <f>'Contribution d''entretien'!C47</f>
        <v>0</v>
      </c>
      <c r="C7" s="70">
        <f>'Contribution d''entretien'!D47</f>
        <v>0</v>
      </c>
    </row>
    <row r="8" spans="1:3" x14ac:dyDescent="0.35">
      <c r="A8" t="s">
        <v>71</v>
      </c>
      <c r="B8" s="70">
        <f>SUM('Contribution d''entretien'!C83:E83)</f>
        <v>0</v>
      </c>
      <c r="C8" s="70">
        <f>SUM('Contribution d''entretien'!C84:E84)</f>
        <v>0</v>
      </c>
    </row>
    <row r="11" spans="1:3" x14ac:dyDescent="0.35">
      <c r="A11" t="s">
        <v>69</v>
      </c>
      <c r="B11" s="69">
        <f>B5-SUM(B6:B10)</f>
        <v>-1689.5999999999995</v>
      </c>
      <c r="C11" s="69">
        <f>C5-SUM(C6:C10)</f>
        <v>-892.99999999999909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7FC96-BD07-41AF-B6A6-B9BD269A99D9}">
  <dimension ref="A7:F8"/>
  <sheetViews>
    <sheetView workbookViewId="0">
      <selection activeCell="E9" sqref="E9"/>
    </sheetView>
  </sheetViews>
  <sheetFormatPr baseColWidth="10" defaultRowHeight="14.5" x14ac:dyDescent="0.35"/>
  <cols>
    <col min="1" max="1" width="20.1796875" customWidth="1"/>
  </cols>
  <sheetData>
    <row r="7" spans="1:6" x14ac:dyDescent="0.35">
      <c r="A7" s="66" t="s">
        <v>66</v>
      </c>
      <c r="B7" s="66">
        <v>0</v>
      </c>
      <c r="C7" s="66">
        <v>1</v>
      </c>
      <c r="D7" s="66">
        <v>2</v>
      </c>
      <c r="E7" s="66">
        <v>3</v>
      </c>
      <c r="F7" s="66">
        <v>4</v>
      </c>
    </row>
    <row r="8" spans="1:6" x14ac:dyDescent="0.35">
      <c r="A8" s="66" t="s">
        <v>65</v>
      </c>
      <c r="B8" s="67">
        <v>0</v>
      </c>
      <c r="C8" s="67">
        <v>0.15</v>
      </c>
      <c r="D8" s="67">
        <v>0.3</v>
      </c>
      <c r="E8" s="67">
        <v>0.35</v>
      </c>
      <c r="F8" s="67">
        <v>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6</vt:i4>
      </vt:variant>
    </vt:vector>
  </HeadingPairs>
  <TitlesOfParts>
    <vt:vector size="9" baseType="lpstr">
      <vt:lpstr>Contribution d'entretien</vt:lpstr>
      <vt:lpstr>Récapitulatif</vt:lpstr>
      <vt:lpstr>Paramètres</vt:lpstr>
      <vt:lpstr>CC_1</vt:lpstr>
      <vt:lpstr>CC_2</vt:lpstr>
      <vt:lpstr>man</vt:lpstr>
      <vt:lpstr>nb_enfants</vt:lpstr>
      <vt:lpstr>P_1</vt:lpstr>
      <vt:lpstr>P_2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etudeslb</dc:creator>
  <cp:lastModifiedBy>BURGAT Sabrina</cp:lastModifiedBy>
  <cp:lastPrinted>2015-08-25T14:47:14Z</cp:lastPrinted>
  <dcterms:created xsi:type="dcterms:W3CDTF">2015-05-27T11:58:37Z</dcterms:created>
  <dcterms:modified xsi:type="dcterms:W3CDTF">2025-09-26T14:32:09Z</dcterms:modified>
</cp:coreProperties>
</file>